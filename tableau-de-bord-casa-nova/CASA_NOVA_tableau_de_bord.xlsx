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300" yWindow="640" windowWidth="38400" windowHeight="19200" tabRatio="600" firstSheet="0" activeTab="3" autoFilterDateGrouping="1"/>
  </bookViews>
  <sheets>
    <sheet xmlns:r="http://schemas.openxmlformats.org/officeDocument/2006/relationships" name="Objectifs et KPI" sheetId="1" state="visible" r:id="rId1"/>
    <sheet xmlns:r="http://schemas.openxmlformats.org/officeDocument/2006/relationships" name="Tableau de bord" sheetId="2" state="visible" r:id="rId2"/>
    <sheet xmlns:r="http://schemas.openxmlformats.org/officeDocument/2006/relationships" name="Données brutes" sheetId="3" state="visible" r:id="rId3"/>
    <sheet xmlns:r="http://schemas.openxmlformats.org/officeDocument/2006/relationships" name="Calculs" sheetId="4" state="visible" r:id="rId4"/>
    <sheet xmlns:r="http://schemas.openxmlformats.org/officeDocument/2006/relationships" name="Enquête satisfaction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19">
    <numFmt numFmtId="164" formatCode="_ * #,##0_)_ ;_ * \(#,##0\)_ ;_ * &quot;-&quot;??_)_ ;_ @_ "/>
    <numFmt numFmtId="165" formatCode="_-* #,##0\ [$€-40C]_-;\-* #,##0\ [$€-40C]_-;_-* &quot;-&quot;??\ [$€-40C]_-;_-@_-"/>
    <numFmt numFmtId="166" formatCode="_ * #,##0.00_)\ &quot;€&quot;_ ;_ * \(#,##0.00\)\ &quot;€&quot;_ ;_ * &quot;-&quot;??_)\ &quot;€&quot;_ ;_ @_ "/>
    <numFmt numFmtId="167" formatCode="_ * #,##0.00_)_ ;_ * \(#,##0.00\)_ ;_ * &quot;-&quot;??_)_ ;_ @_ "/>
    <numFmt numFmtId="168" formatCode="#,##0 €"/>
    <numFmt numFmtId="169" formatCode="0&quot; %&quot;"/>
    <numFmt numFmtId="170" formatCode="0&quot; pts&quot;"/>
    <numFmt numFmtId="171" formatCode="0.0"/>
    <numFmt numFmtId="172" formatCode="0.0%"/>
    <numFmt numFmtId="173" formatCode="#,##0.00 €"/>
    <numFmt numFmtId="174" formatCode="+#,##0 €;-#,##0 €"/>
    <numFmt numFmtId="175" formatCode="+0.00%;-0.00%"/>
    <numFmt numFmtId="176" formatCode="+#,##0;-#,##0"/>
    <numFmt numFmtId="177" formatCode="+0.0%;-0.0%"/>
    <numFmt numFmtId="178" formatCode="+0.0&quot; pts&quot;;-0.0&quot; pts&quot;"/>
    <numFmt numFmtId="179" formatCode="+0.00 €;-0.00 €"/>
    <numFmt numFmtId="180" formatCode="+0.00;-0.00"/>
    <numFmt numFmtId="181" formatCode="+0&quot; pts&quot;;-0&quot; pts&quot;"/>
    <numFmt numFmtId="182" formatCode="+0.0&quot; pt&quot;;-0.0&quot; pt&quot;"/>
  </numFmts>
  <fonts count="13">
    <font>
      <name val="Carlito"/>
      <sz val="11"/>
    </font>
    <font>
      <name val="Carlito"/>
      <sz val="11"/>
    </font>
    <font>
      <name val="Avenir Book"/>
      <family val="2"/>
      <b val="1"/>
      <color theme="1"/>
      <sz val="11"/>
    </font>
    <font>
      <name val="Avenir Book"/>
      <family val="2"/>
      <color theme="1"/>
      <sz val="11"/>
    </font>
    <font>
      <name val="Avenir Book"/>
      <family val="2"/>
      <sz val="11"/>
    </font>
    <font>
      <b val="1"/>
      <color rgb="00FFFFFF"/>
    </font>
    <font>
      <i val="1"/>
      <color rgb="00808080"/>
    </font>
    <font>
      <i val="1"/>
      <color rgb="00595959"/>
    </font>
    <font>
      <b val="1"/>
      <color rgb="001F3A5F"/>
      <sz val="15"/>
    </font>
    <font>
      <b val="1"/>
      <color rgb="001F3A5F"/>
      <sz val="12"/>
    </font>
    <font>
      <b val="1"/>
      <color rgb="001F3A5F"/>
      <sz val="16"/>
    </font>
    <font>
      <b val="1"/>
    </font>
    <font>
      <b val="1"/>
      <color rgb="001F3A5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4">
    <xf numFmtId="0" fontId="1" fillId="0" borderId="0"/>
    <xf numFmtId="167" fontId="1" fillId="0" borderId="0"/>
    <xf numFmtId="166" fontId="1" fillId="0" borderId="0"/>
    <xf numFmtId="9" fontId="1" fillId="0" borderId="0"/>
  </cellStyleXfs>
  <cellXfs count="8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pivotButton="0" quotePrefix="0" xfId="0"/>
    <xf numFmtId="164" fontId="3" fillId="0" borderId="1" pivotButton="0" quotePrefix="0" xfId="1"/>
    <xf numFmtId="165" fontId="3" fillId="0" borderId="1" pivotButton="0" quotePrefix="0" xfId="0"/>
    <xf numFmtId="0" fontId="3" fillId="0" borderId="1" applyAlignment="1" pivotButton="0" quotePrefix="0" xfId="0">
      <alignment horizontal="center"/>
    </xf>
    <xf numFmtId="166" fontId="3" fillId="0" borderId="1" pivotButton="0" quotePrefix="0" xfId="2"/>
    <xf numFmtId="9" fontId="3" fillId="0" borderId="1" pivotButton="0" quotePrefix="0" xfId="3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4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7" fillId="0" borderId="0" pivotButton="0" quotePrefix="0" xfId="0"/>
    <xf numFmtId="0" fontId="10" fillId="0" borderId="0" pivotButton="0" quotePrefix="0" xfId="0"/>
    <xf numFmtId="168" fontId="0" fillId="0" borderId="2" applyAlignment="1" pivotButton="0" quotePrefix="0" xfId="0">
      <alignment horizontal="center" vertical="center"/>
    </xf>
    <xf numFmtId="174" fontId="0" fillId="0" borderId="2" applyAlignment="1" pivotButton="0" quotePrefix="0" xfId="0">
      <alignment horizontal="center" vertical="center"/>
    </xf>
    <xf numFmtId="177" fontId="0" fillId="0" borderId="2" applyAlignment="1" pivotButton="0" quotePrefix="0" xfId="0">
      <alignment horizontal="center" vertical="center"/>
    </xf>
    <xf numFmtId="172" fontId="0" fillId="0" borderId="2" applyAlignment="1" pivotButton="0" quotePrefix="0" xfId="0">
      <alignment horizontal="center" vertical="center"/>
    </xf>
    <xf numFmtId="178" fontId="0" fillId="0" borderId="2" applyAlignment="1" pivotButton="0" quotePrefix="0" xfId="0">
      <alignment horizontal="center" vertical="center"/>
    </xf>
    <xf numFmtId="173" fontId="0" fillId="0" borderId="2" applyAlignment="1" pivotButton="0" quotePrefix="0" xfId="0">
      <alignment horizontal="center" vertical="center"/>
    </xf>
    <xf numFmtId="179" fontId="0" fillId="0" borderId="2" applyAlignment="1" pivotButton="0" quotePrefix="0" xfId="0">
      <alignment horizontal="center" vertical="center"/>
    </xf>
    <xf numFmtId="2" fontId="0" fillId="0" borderId="2" applyAlignment="1" pivotButton="0" quotePrefix="0" xfId="0">
      <alignment horizontal="center" vertical="center"/>
    </xf>
    <xf numFmtId="180" fontId="0" fillId="0" borderId="2" applyAlignment="1" pivotButton="0" quotePrefix="0" xfId="0">
      <alignment horizontal="center" vertical="center"/>
    </xf>
    <xf numFmtId="169" fontId="0" fillId="0" borderId="2" applyAlignment="1" pivotButton="0" quotePrefix="0" xfId="0">
      <alignment horizontal="center" vertical="center"/>
    </xf>
    <xf numFmtId="181" fontId="0" fillId="0" borderId="2" applyAlignment="1" pivotButton="0" quotePrefix="0" xfId="0">
      <alignment horizontal="center" vertical="center"/>
    </xf>
    <xf numFmtId="170" fontId="0" fillId="0" borderId="2" applyAlignment="1" pivotButton="0" quotePrefix="0" xfId="0">
      <alignment horizontal="center" vertical="center"/>
    </xf>
    <xf numFmtId="171" fontId="0" fillId="0" borderId="2" applyAlignment="1" pivotButton="0" quotePrefix="0" xfId="0">
      <alignment horizontal="center" vertical="center"/>
    </xf>
    <xf numFmtId="182" fontId="0" fillId="0" borderId="2" applyAlignment="1" pivotButton="0" quotePrefix="0" xfId="0">
      <alignment horizontal="center" vertical="center"/>
    </xf>
    <xf numFmtId="0" fontId="12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3" fontId="0" fillId="0" borderId="2" applyAlignment="1" pivotButton="0" quotePrefix="0" xfId="0">
      <alignment horizontal="center"/>
    </xf>
    <xf numFmtId="177" fontId="0" fillId="0" borderId="2" applyAlignment="1" pivotButton="0" quotePrefix="0" xfId="0">
      <alignment horizontal="center"/>
    </xf>
    <xf numFmtId="173" fontId="0" fillId="0" borderId="2" applyAlignment="1" pivotButton="0" quotePrefix="0" xfId="0">
      <alignment horizontal="center"/>
    </xf>
    <xf numFmtId="0" fontId="3" fillId="0" borderId="2" pivotButton="0" quotePrefix="0" xfId="0"/>
    <xf numFmtId="164" fontId="3" fillId="0" borderId="2" pivotButton="0" quotePrefix="0" xfId="1"/>
    <xf numFmtId="165" fontId="3" fillId="0" borderId="2" pivotButton="0" quotePrefix="0" xfId="0"/>
    <xf numFmtId="0" fontId="3" fillId="0" borderId="2" applyAlignment="1" pivotButton="0" quotePrefix="0" xfId="0">
      <alignment horizontal="center"/>
    </xf>
    <xf numFmtId="172" fontId="0" fillId="3" borderId="2" pivotButton="0" quotePrefix="0" xfId="0"/>
    <xf numFmtId="173" fontId="0" fillId="3" borderId="2" pivotButton="0" quotePrefix="0" xfId="0"/>
    <xf numFmtId="2" fontId="0" fillId="3" borderId="2" pivotButton="0" quotePrefix="0" xfId="0"/>
    <xf numFmtId="170" fontId="0" fillId="3" borderId="2" pivotButton="0" quotePrefix="0" xfId="0"/>
    <xf numFmtId="0" fontId="6" fillId="0" borderId="0" pivotButton="0" quotePrefix="0" xfId="0"/>
    <xf numFmtId="168" fontId="3" fillId="0" borderId="2" pivotButton="0" quotePrefix="0" xfId="2"/>
    <xf numFmtId="9" fontId="3" fillId="0" borderId="2" pivotButton="0" quotePrefix="0" xfId="3"/>
    <xf numFmtId="2" fontId="3" fillId="0" borderId="2" pivotButton="0" quotePrefix="0" xfId="0"/>
    <xf numFmtId="169" fontId="3" fillId="0" borderId="2" pivotButton="0" quotePrefix="0" xfId="0"/>
    <xf numFmtId="170" fontId="3" fillId="0" borderId="2" pivotButton="0" quotePrefix="0" xfId="0"/>
    <xf numFmtId="171" fontId="3" fillId="0" borderId="2" pivotButton="0" quotePrefix="0" xfId="0"/>
    <xf numFmtId="172" fontId="0" fillId="3" borderId="2" applyAlignment="1" pivotButton="0" quotePrefix="0" xfId="0">
      <alignment horizontal="center"/>
    </xf>
    <xf numFmtId="172" fontId="0" fillId="0" borderId="2" applyAlignment="1" pivotButton="0" quotePrefix="0" xfId="0">
      <alignment horizontal="center"/>
    </xf>
    <xf numFmtId="173" fontId="0" fillId="3" borderId="2" applyAlignment="1" pivotButton="0" quotePrefix="0" xfId="0">
      <alignment horizontal="center"/>
    </xf>
    <xf numFmtId="2" fontId="0" fillId="3" borderId="2" applyAlignment="1" pivotButton="0" quotePrefix="0" xfId="0">
      <alignment horizontal="center"/>
    </xf>
    <xf numFmtId="2" fontId="0" fillId="0" borderId="2" applyAlignment="1" pivotButton="0" quotePrefix="0" xfId="0">
      <alignment horizontal="center"/>
    </xf>
    <xf numFmtId="168" fontId="0" fillId="0" borderId="2" applyAlignment="1" pivotButton="0" quotePrefix="0" xfId="0">
      <alignment horizontal="center"/>
    </xf>
    <xf numFmtId="174" fontId="0" fillId="3" borderId="2" applyAlignment="1" pivotButton="0" quotePrefix="0" xfId="0">
      <alignment horizontal="center"/>
    </xf>
    <xf numFmtId="175" fontId="0" fillId="3" borderId="2" applyAlignment="1" pivotButton="0" quotePrefix="0" xfId="0">
      <alignment horizontal="center"/>
    </xf>
    <xf numFmtId="176" fontId="0" fillId="3" borderId="2" applyAlignment="1" pivotButton="0" quotePrefix="0" xfId="0">
      <alignment horizontal="center"/>
    </xf>
    <xf numFmtId="177" fontId="0" fillId="3" borderId="2" applyAlignment="1" pivotButton="0" quotePrefix="0" xfId="0">
      <alignment horizontal="center"/>
    </xf>
    <xf numFmtId="0" fontId="0" fillId="3" borderId="2" applyAlignment="1" pivotButton="0" quotePrefix="0" xfId="0">
      <alignment horizontal="center"/>
    </xf>
    <xf numFmtId="178" fontId="0" fillId="3" borderId="2" applyAlignment="1" pivotButton="0" quotePrefix="0" xfId="0">
      <alignment horizontal="center"/>
    </xf>
    <xf numFmtId="179" fontId="0" fillId="3" borderId="2" applyAlignment="1" pivotButton="0" quotePrefix="0" xfId="0">
      <alignment horizontal="center"/>
    </xf>
    <xf numFmtId="180" fontId="0" fillId="3" borderId="2" applyAlignment="1" pivotButton="0" quotePrefix="0" xfId="0">
      <alignment horizontal="center"/>
    </xf>
    <xf numFmtId="169" fontId="0" fillId="0" borderId="2" applyAlignment="1" pivotButton="0" quotePrefix="0" xfId="0">
      <alignment horizontal="center"/>
    </xf>
    <xf numFmtId="181" fontId="0" fillId="3" borderId="2" applyAlignment="1" pivotButton="0" quotePrefix="0" xfId="0">
      <alignment horizontal="center"/>
    </xf>
    <xf numFmtId="170" fontId="0" fillId="0" borderId="2" applyAlignment="1" pivotButton="0" quotePrefix="0" xfId="0">
      <alignment horizontal="center"/>
    </xf>
    <xf numFmtId="171" fontId="0" fillId="0" borderId="2" applyAlignment="1" pivotButton="0" quotePrefix="0" xfId="0">
      <alignment horizontal="center"/>
    </xf>
    <xf numFmtId="182" fontId="0" fillId="3" borderId="2" applyAlignment="1" pivotButton="0" quotePrefix="0" xfId="0">
      <alignment horizontal="center"/>
    </xf>
    <xf numFmtId="0" fontId="4" fillId="0" borderId="2" applyAlignment="1" pivotButton="0" quotePrefix="0" xfId="0">
      <alignment horizontal="left"/>
    </xf>
    <xf numFmtId="0" fontId="4" fillId="0" borderId="2" applyAlignment="1" pivotButton="0" quotePrefix="0" xfId="0">
      <alignment horizontal="center"/>
    </xf>
    <xf numFmtId="0" fontId="0" fillId="3" borderId="2" pivotButton="0" quotePrefix="0" xfId="0"/>
    <xf numFmtId="169" fontId="0" fillId="3" borderId="2" pivotButton="0" quotePrefix="0" xfId="0"/>
  </cellXfs>
  <cellStyles count="4">
    <cellStyle name="Normal" xfId="0" builtinId="0"/>
    <cellStyle name="Milliers" xfId="1" builtinId="3"/>
    <cellStyle name="Monétaire" xfId="2" builtinId="4"/>
    <cellStyle name="Pourcentage" xfId="3" builtinId="5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color rgb="00006100"/>
      </font>
    </dxf>
    <dxf>
      <font>
        <color rgb="009C0006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 TTC et taux de transformation (mai–sept.)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'Données brutes'!E1</f>
            </strRef>
          </tx>
          <spPr>
            <a:solidFill xmlns:a="http://schemas.openxmlformats.org/drawingml/2006/main">
              <a:srgbClr val="1F3A5F"/>
            </a:solidFill>
            <a:ln xmlns:a="http://schemas.openxmlformats.org/drawingml/2006/main">
              <a:prstDash val="solid"/>
            </a:ln>
          </spPr>
          <cat>
            <numRef>
              <f>'Données brutes'!$A$2:$A$6</f>
            </numRef>
          </cat>
          <val>
            <numRef>
              <f>'Données brutes'!$E$2:$E$6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'Données brutes'!I1</f>
            </strRef>
          </tx>
          <spPr>
            <a:ln xmlns:a="http://schemas.openxmlformats.org/drawingml/2006/main" w="28000">
              <a:solidFill>
                <a:srgbClr val="E46C0A"/>
              </a:solidFill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val>
            <numRef>
              <f>'Données brutes'!$I$2:$I$6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8000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 TTC (€)</a:t>
                </a:r>
              </a:p>
            </rich>
          </tx>
        </title>
        <numFmt formatCode="#,##0" sourceLinked="0"/>
        <majorTickMark val="none"/>
        <minorTickMark val="none"/>
        <crossAx val="10"/>
      </valAx>
      <valAx>
        <axId val="200"/>
        <scaling>
          <orientation val="minMax"/>
          <max val="0.32"/>
          <min val="0.22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de transformation</a:t>
                </a:r>
              </a:p>
            </rich>
          </tx>
        </title>
        <numFmt formatCode="0%" sourceLinked="0"/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Satisfaction client : CSAT et NPS (mai–sept.)</a:t>
            </a:r>
          </a:p>
        </rich>
      </tx>
    </title>
    <plotArea>
      <lineChart>
        <grouping val="standard"/>
        <ser>
          <idx val="0"/>
          <order val="0"/>
          <tx>
            <strRef>
              <f>'Données brutes'!F1</f>
            </strRef>
          </tx>
          <spPr>
            <a:ln xmlns:a="http://schemas.openxmlformats.org/drawingml/2006/main" w="28000">
              <a:solidFill>
                <a:srgbClr val="2E75B6"/>
              </a:solidFill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'Données brutes'!$A$2:$A$6</f>
            </numRef>
          </cat>
          <val>
            <numRef>
              <f>'Données brutes'!$F$2:$F$6</f>
            </numRef>
          </val>
          <smooth val="0"/>
        </ser>
        <ser>
          <idx val="1"/>
          <order val="1"/>
          <tx>
            <strRef>
              <f>'Données brutes'!G1</f>
            </strRef>
          </tx>
          <spPr>
            <a:ln xmlns:a="http://schemas.openxmlformats.org/drawingml/2006/main" w="28000">
              <a:solidFill>
                <a:srgbClr val="C00000"/>
              </a:solidFill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'Données brutes'!$A$2:$A$6</f>
            </numRef>
          </cat>
          <val>
            <numRef>
              <f>'Données brutes'!$G$2:$G$6</f>
            </numRef>
          </val>
          <smooth val="0"/>
        </ser>
        <axId val="10"/>
        <axId val="100"/>
      </lineChart>
      <lineChart>
        <grouping val="standard"/>
        <ser>
          <idx val="2"/>
          <order val="2"/>
          <tx>
            <strRef>
              <f>'Données brutes'!H1</f>
            </strRef>
          </tx>
          <spPr>
            <a:ln xmlns:a="http://schemas.openxmlformats.org/drawingml/2006/main">
              <a:solidFill>
                <a:srgbClr val="7F7F7F"/>
              </a:solidFill>
              <a:prstDash val="dash"/>
            </a:ln>
          </spPr>
          <marker>
            <symbol val="triangle"/>
            <spPr>
              <a:ln xmlns:a="http://schemas.openxmlformats.org/drawingml/2006/main">
                <a:prstDash val="solid"/>
              </a:ln>
            </spPr>
          </marker>
          <val>
            <numRef>
              <f>'Données brutes'!$H$2:$H$6</f>
            </numRef>
          </val>
          <smooth val="0"/>
        </ser>
        <axId val="10"/>
        <axId val="3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CSAT (%) / NPS (pts)</a:t>
                </a:r>
              </a:p>
            </rich>
          </tx>
        </title>
        <majorTickMark val="none"/>
        <minorTickMark val="none"/>
        <crossAx val="10"/>
      </valAx>
      <valAx>
        <axId val="300"/>
        <scaling>
          <orientation val="minMax"/>
          <max val="7"/>
          <min val="1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CES /7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55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18</row>
      <rowOff>0</rowOff>
    </from>
    <ext cx="55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tabSelected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6" customWidth="1" min="3" max="3"/>
    <col width="60" customWidth="1" min="4" max="4"/>
    <col width="24" customWidth="1" min="5" max="5"/>
  </cols>
  <sheetData>
    <row r="1">
      <c r="A1" s="17" t="inlineStr">
        <is>
          <t>CASA NOVA – Objectifs opérationnels et choix des KPI (questions 1 à 3)</t>
        </is>
      </c>
    </row>
    <row r="3">
      <c r="A3" s="18" t="inlineStr">
        <is>
          <t>Q1 – Trois objectifs opérationnels à piloter en septembre</t>
        </is>
      </c>
    </row>
    <row r="4" ht="32" customHeight="1">
      <c r="A4" s="19" t="inlineStr">
        <is>
          <t>1. Augmenter le CA TTC de 105 894 € (août) à 112 000 € en septembre, soit +5,8 %, en convertissant mieux le trafic plutôt qu'en comptant sur sa seule hausse.</t>
        </is>
      </c>
    </row>
    <row r="5" ht="32" customHeight="1">
      <c r="A5" s="19" t="inlineStr">
        <is>
          <t>2. Améliorer l'efficacité commerciale : porter le taux de transformation de 27 % à 28 % et maintenir un panier moyen d'au moins 53 € avec 2,10 articles par ticket.</t>
        </is>
      </c>
    </row>
    <row r="6" ht="32" customHeight="1">
      <c r="A6" s="19" t="inlineStr">
        <is>
          <t>3. Restaurer l'expérience client : CSAT ≥ 90 %, NPS ≥ 35 points et CES ≥ 5,5 / 7 en septembre.</t>
        </is>
      </c>
    </row>
    <row r="8">
      <c r="A8" s="18" t="inlineStr">
        <is>
          <t>Q2 et Q3 – KPI retenus, objectif suivi, intérêt pour le manager et classement</t>
        </is>
      </c>
    </row>
    <row r="9">
      <c r="A9" s="20" t="inlineStr">
        <is>
          <t>KPI</t>
        </is>
      </c>
      <c r="B9" s="20" t="inlineStr">
        <is>
          <t>Calcul</t>
        </is>
      </c>
      <c r="C9" s="20" t="inlineStr">
        <is>
          <t>Objectif suivi</t>
        </is>
      </c>
      <c r="D9" s="20" t="inlineStr">
        <is>
          <t>Intérêt pour le manager</t>
        </is>
      </c>
      <c r="E9" s="20" t="inlineStr">
        <is>
          <t>Famille (Q3)</t>
        </is>
      </c>
    </row>
    <row r="10" ht="34" customHeight="1">
      <c r="A10" s="21" t="inlineStr">
        <is>
          <t>CA TTC</t>
        </is>
      </c>
      <c r="B10" s="22" t="inlineStr">
        <is>
          <t>Somme des ventes TTC du mois</t>
        </is>
      </c>
      <c r="C10" s="22" t="inlineStr">
        <is>
          <t>112 000 €</t>
        </is>
      </c>
      <c r="D10" s="22" t="inlineStr">
        <is>
          <t>Mesure le résultat global de l'unité commerciale et sa progression.</t>
        </is>
      </c>
      <c r="E10" s="22" t="inlineStr">
        <is>
          <t>Résultat commercial</t>
        </is>
      </c>
    </row>
    <row r="11" ht="34" customHeight="1">
      <c r="A11" s="21" t="inlineStr">
        <is>
          <t>Taux de transformation</t>
        </is>
      </c>
      <c r="B11" s="22" t="inlineStr">
        <is>
          <t>Tickets / visiteurs</t>
        </is>
      </c>
      <c r="C11" s="22" t="inlineStr">
        <is>
          <t>28 %</t>
        </is>
      </c>
      <c r="D11" s="22" t="inlineStr">
        <is>
          <t>Montre la capacité à convertir les visiteurs en acheteurs (accueil, conseil, disponibilité des vendeurs).</t>
        </is>
      </c>
      <c r="E11" s="22" t="inlineStr">
        <is>
          <t>Efficacité commerciale</t>
        </is>
      </c>
    </row>
    <row r="12" ht="34" customHeight="1">
      <c r="A12" s="21" t="inlineStr">
        <is>
          <t>Panier moyen</t>
        </is>
      </c>
      <c r="B12" s="22" t="inlineStr">
        <is>
          <t>CA TTC / tickets</t>
        </is>
      </c>
      <c r="C12" s="22" t="inlineStr">
        <is>
          <t>53 €</t>
        </is>
      </c>
      <c r="D12" s="22" t="inlineStr">
        <is>
          <t>Mesure la valeur d'un achat ; levier sur le CA sans besoin de trafic supplémentaire.</t>
        </is>
      </c>
      <c r="E12" s="22" t="inlineStr">
        <is>
          <t>Efficacité commerciale</t>
        </is>
      </c>
    </row>
    <row r="13" ht="34" customHeight="1">
      <c r="A13" s="21" t="inlineStr">
        <is>
          <t>Indice des ventes</t>
        </is>
      </c>
      <c r="B13" s="22" t="inlineStr">
        <is>
          <t>Articles vendus / tickets</t>
        </is>
      </c>
      <c r="C13" s="22" t="inlineStr">
        <is>
          <t>2,10</t>
        </is>
      </c>
      <c r="D13" s="22" t="inlineStr">
        <is>
          <t>Mesure la vente additionnelle et complémentaire (articles par client).</t>
        </is>
      </c>
      <c r="E13" s="22" t="inlineStr">
        <is>
          <t>Efficacité commerciale</t>
        </is>
      </c>
    </row>
    <row r="14" ht="34" customHeight="1">
      <c r="A14" s="21" t="inlineStr">
        <is>
          <t>CSAT</t>
        </is>
      </c>
      <c r="B14" s="22" t="inlineStr">
        <is>
          <t>% de clients satisfaits</t>
        </is>
      </c>
      <c r="C14" s="22" t="inlineStr">
        <is>
          <t>90 %</t>
        </is>
      </c>
      <c r="D14" s="22" t="inlineStr">
        <is>
          <t>Mesure la satisfaction immédiate après l'achat.</t>
        </is>
      </c>
      <c r="E14" s="22" t="inlineStr">
        <is>
          <t>Satisfaction client</t>
        </is>
      </c>
    </row>
    <row r="15" ht="34" customHeight="1">
      <c r="A15" s="21" t="inlineStr">
        <is>
          <t>NPS</t>
        </is>
      </c>
      <c r="B15" s="22" t="inlineStr">
        <is>
          <t>% promoteurs − % détracteurs</t>
        </is>
      </c>
      <c r="C15" s="22" t="inlineStr">
        <is>
          <t>35 pts</t>
        </is>
      </c>
      <c r="D15" s="22" t="inlineStr">
        <is>
          <t>Mesure la recommandation et la fidélité future (bouche-à-oreille).</t>
        </is>
      </c>
      <c r="E15" s="22" t="inlineStr">
        <is>
          <t>Satisfaction client</t>
        </is>
      </c>
    </row>
    <row r="16" ht="34" customHeight="1">
      <c r="A16" s="21" t="inlineStr">
        <is>
          <t>CES moyen</t>
        </is>
      </c>
      <c r="B16" s="22" t="inlineStr">
        <is>
          <t>Score d'effort de 1 à 7</t>
        </is>
      </c>
      <c r="C16" s="22" t="inlineStr">
        <is>
          <t>5,5 / 7</t>
        </is>
      </c>
      <c r="D16" s="22" t="inlineStr">
        <is>
          <t>Mesure la facilité du parcours d'achat (attente, caisse, SAV).</t>
        </is>
      </c>
      <c r="E16" s="22" t="inlineStr">
        <is>
          <t>Satisfaction client</t>
        </is>
      </c>
    </row>
    <row r="18">
      <c r="A18" s="23" t="inlineStr">
        <is>
          <t>Indicateurs de contexte suivis sans objectif : visiteurs (trafic), tickets, prix moyen par article.</t>
        </is>
      </c>
    </row>
  </sheetData>
  <mergeCells count="3">
    <mergeCell ref="A6:E6"/>
    <mergeCell ref="A5:E5"/>
    <mergeCell ref="A4:E4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A8" sqref="A8"/>
    </sheetView>
  </sheetViews>
  <sheetFormatPr baseColWidth="8" defaultColWidth="8.875" defaultRowHeight="24.95" customHeight="1"/>
  <cols>
    <col width="26" customWidth="1" style="16" min="1" max="1"/>
    <col width="14" customWidth="1" style="16" min="2" max="6"/>
    <col width="14" customWidth="1" min="3" max="3"/>
    <col width="14" customWidth="1" min="4" max="4"/>
    <col width="16" customWidth="1" min="5" max="5"/>
    <col width="16" customWidth="1" min="6" max="6"/>
    <col width="52" customWidth="1" style="16" min="7" max="7"/>
    <col width="24" customWidth="1" style="16" min="8" max="8"/>
    <col width="8.875" customWidth="1" style="16" min="9" max="16384"/>
  </cols>
  <sheetData>
    <row r="1" ht="24.95" customFormat="1" customHeight="1" s="12">
      <c r="A1" s="24" t="inlineStr">
        <is>
          <t>CASA NOVA – Tableau de bord commercial · septembre</t>
        </is>
      </c>
    </row>
    <row r="2">
      <c r="A2" s="23" t="inlineStr">
        <is>
          <t>Réunion commerciale · période de référence : août · sources : données brutes et enquête de satisfaction</t>
        </is>
      </c>
    </row>
    <row r="4" ht="30" customHeight="1">
      <c r="A4" s="20" t="inlineStr">
        <is>
          <t>KPI sélectionné</t>
        </is>
      </c>
      <c r="B4" s="20" t="inlineStr">
        <is>
          <t>Objectif</t>
        </is>
      </c>
      <c r="C4" s="20" t="inlineStr">
        <is>
          <t>Réalisé sept.</t>
        </is>
      </c>
      <c r="D4" s="20" t="inlineStr">
        <is>
          <t>Réalisé août</t>
        </is>
      </c>
      <c r="E4" s="20" t="inlineStr">
        <is>
          <t>Écart objectif</t>
        </is>
      </c>
      <c r="F4" s="20" t="inlineStr">
        <is>
          <t>Évolution août/sept.</t>
        </is>
      </c>
      <c r="G4" s="20" t="inlineStr">
        <is>
          <t>Statut / décision</t>
        </is>
      </c>
      <c r="H4" s="20" t="inlineStr">
        <is>
          <t>Famille de KPI</t>
        </is>
      </c>
    </row>
    <row r="5" ht="30" customHeight="1">
      <c r="A5" s="21" t="inlineStr">
        <is>
          <t>CA TTC</t>
        </is>
      </c>
      <c r="B5" s="25">
        <f>Calculs!B21</f>
        <v/>
      </c>
      <c r="C5" s="25">
        <f>Calculs!C21</f>
        <v/>
      </c>
      <c r="D5" s="25">
        <f>'Données brutes'!E5</f>
        <v/>
      </c>
      <c r="E5" s="26">
        <f>Calculs!D21</f>
        <v/>
      </c>
      <c r="F5" s="27">
        <f>('Données brutes'!E6-'Données brutes'!E5)/'Données brutes'!E5</f>
        <v/>
      </c>
      <c r="G5" s="22">
        <f>IF(C5&gt;=B5,"✔ Atteint","✘ Non atteint")&amp;" – "&amp;"Croissance portée par le trafic : à consolider"</f>
        <v/>
      </c>
      <c r="H5" s="22" t="inlineStr">
        <is>
          <t>Résultat commercial</t>
        </is>
      </c>
    </row>
    <row r="6" ht="30" customHeight="1">
      <c r="A6" s="21" t="inlineStr">
        <is>
          <t>Taux de transformation</t>
        </is>
      </c>
      <c r="B6" s="28">
        <f>Calculs!B22</f>
        <v/>
      </c>
      <c r="C6" s="28">
        <f>Calculs!C22</f>
        <v/>
      </c>
      <c r="D6" s="28">
        <f>'Données brutes'!I5</f>
        <v/>
      </c>
      <c r="E6" s="29">
        <f>Calculs!D22</f>
        <v/>
      </c>
      <c r="F6" s="29">
        <f>('Données brutes'!I6-'Données brutes'!I5)*100</f>
        <v/>
      </c>
      <c r="G6" s="22">
        <f>IF(C6&gt;=B6,"✔ Atteint","✘ Non atteint")&amp;" – "&amp;"Prioritaire : accueil et conseil en magasin"</f>
        <v/>
      </c>
      <c r="H6" s="22" t="inlineStr">
        <is>
          <t>Efficacité commerciale</t>
        </is>
      </c>
    </row>
    <row r="7" ht="30" customHeight="1">
      <c r="A7" s="21" t="inlineStr">
        <is>
          <t>Panier moyen</t>
        </is>
      </c>
      <c r="B7" s="30">
        <f>Calculs!B23</f>
        <v/>
      </c>
      <c r="C7" s="30">
        <f>Calculs!C23</f>
        <v/>
      </c>
      <c r="D7" s="30">
        <f>'Données brutes'!J5</f>
        <v/>
      </c>
      <c r="E7" s="31">
        <f>Calculs!D23</f>
        <v/>
      </c>
      <c r="F7" s="31">
        <f>'Données brutes'!J6-'Données brutes'!J5</f>
        <v/>
      </c>
      <c r="G7" s="22">
        <f>IF(C7&gt;=B7,"✔ Atteint","✘ Non atteint")&amp;" – "&amp;"Hausse due au prix moyen, pas au nombre d'articles"</f>
        <v/>
      </c>
      <c r="H7" s="22" t="inlineStr">
        <is>
          <t>Efficacité commerciale</t>
        </is>
      </c>
    </row>
    <row r="8" ht="30" customHeight="1">
      <c r="A8" s="21" t="inlineStr">
        <is>
          <t>Indice des ventes</t>
        </is>
      </c>
      <c r="B8" s="32">
        <f>Calculs!B24</f>
        <v/>
      </c>
      <c r="C8" s="32">
        <f>Calculs!C24</f>
        <v/>
      </c>
      <c r="D8" s="32">
        <f>'Données brutes'!K5</f>
        <v/>
      </c>
      <c r="E8" s="33">
        <f>Calculs!D24</f>
        <v/>
      </c>
      <c r="F8" s="33">
        <f>'Données brutes'!K6-'Données brutes'!K5</f>
        <v/>
      </c>
      <c r="G8" s="22">
        <f>IF(C8&gt;=B8,"✔ Atteint","✘ Non atteint")&amp;" – "&amp;"Relancer la vente additionnelle"</f>
        <v/>
      </c>
      <c r="H8" s="22" t="inlineStr">
        <is>
          <t>Efficacité commerciale</t>
        </is>
      </c>
    </row>
    <row r="9" ht="30" customHeight="1">
      <c r="A9" s="21" t="inlineStr">
        <is>
          <t>CSAT</t>
        </is>
      </c>
      <c r="B9" s="34">
        <f>Calculs!B25</f>
        <v/>
      </c>
      <c r="C9" s="34">
        <f>Calculs!C25</f>
        <v/>
      </c>
      <c r="D9" s="34">
        <f>'Données brutes'!F5</f>
        <v/>
      </c>
      <c r="E9" s="35">
        <f>Calculs!D25</f>
        <v/>
      </c>
      <c r="F9" s="35">
        <f>'Données brutes'!F6-'Données brutes'!F5</f>
        <v/>
      </c>
      <c r="G9" s="22">
        <f>IF(C9&gt;=B9,"✔ Atteint","✘ Non atteint")&amp;" – "&amp;"Alerte : en baisse chaque mois depuis mai (91 % → 81 %)"</f>
        <v/>
      </c>
      <c r="H9" s="22" t="inlineStr">
        <is>
          <t>Satisfaction client</t>
        </is>
      </c>
    </row>
    <row r="10" ht="30" customHeight="1">
      <c r="A10" s="21" t="inlineStr">
        <is>
          <t>NPS</t>
        </is>
      </c>
      <c r="B10" s="36">
        <f>Calculs!B26</f>
        <v/>
      </c>
      <c r="C10" s="36">
        <f>Calculs!C26</f>
        <v/>
      </c>
      <c r="D10" s="36">
        <f>'Données brutes'!G5</f>
        <v/>
      </c>
      <c r="E10" s="35">
        <f>Calculs!D26</f>
        <v/>
      </c>
      <c r="F10" s="35">
        <f>'Données brutes'!G6-'Données brutes'!G5</f>
        <v/>
      </c>
      <c r="G10" s="22">
        <f>IF(C10&gt;=B10,"✔ Atteint","✘ Non atteint")&amp;" – "&amp;"Alerte : détracteurs en forte hausse (28 %)"</f>
        <v/>
      </c>
      <c r="H10" s="22" t="inlineStr">
        <is>
          <t>Satisfaction client</t>
        </is>
      </c>
    </row>
    <row r="11" ht="30" customHeight="1">
      <c r="A11" s="21" t="inlineStr">
        <is>
          <t>CES moyen /7</t>
        </is>
      </c>
      <c r="B11" s="37">
        <f>Calculs!B27</f>
        <v/>
      </c>
      <c r="C11" s="37">
        <f>Calculs!C27</f>
        <v/>
      </c>
      <c r="D11" s="37">
        <f>'Données brutes'!H5</f>
        <v/>
      </c>
      <c r="E11" s="38">
        <f>Calculs!D27</f>
        <v/>
      </c>
      <c r="F11" s="38">
        <f>'Données brutes'!H6-'Données brutes'!H5</f>
        <v/>
      </c>
      <c r="G11" s="22">
        <f>IF(C11&gt;=B11,"✔ Atteint","✘ Non atteint")&amp;" – "&amp;"Simplifier le parcours (attente, caisse)"</f>
        <v/>
      </c>
      <c r="H11" s="22" t="inlineStr">
        <is>
          <t>Satisfaction client</t>
        </is>
      </c>
    </row>
    <row r="12">
      <c r="A12" s="23" t="inlineStr">
        <is>
          <t>Lecture : écart objectif en € (CA, panier), en points de % (taux de transformation, CSAT), en points de score (NPS, CES). Évolution août/sept. : relative (%) pour le CA, en valeur ou en points pour les autres.</t>
        </is>
      </c>
    </row>
    <row r="13">
      <c r="A13" s="39" t="inlineStr">
        <is>
          <t>Indicateurs de contexte</t>
        </is>
      </c>
    </row>
    <row r="14">
      <c r="A14" s="40" t="inlineStr">
        <is>
          <t>Visiteurs (trafic)</t>
        </is>
      </c>
      <c r="B14" s="41" t="inlineStr">
        <is>
          <t>—</t>
        </is>
      </c>
      <c r="C14" s="42">
        <f>'Données brutes'!B6</f>
        <v/>
      </c>
      <c r="D14" s="42">
        <f>'Données brutes'!B5</f>
        <v/>
      </c>
      <c r="E14" s="41" t="inlineStr">
        <is>
          <t>—</t>
        </is>
      </c>
      <c r="F14" s="43">
        <f>('Données brutes'!B6-'Données brutes'!B5)/'Données brutes'!B5</f>
        <v/>
      </c>
      <c r="G14" s="40" t="inlineStr">
        <is>
          <t>Trafic en forte hausse (+8,1 %)</t>
        </is>
      </c>
      <c r="H14" s="40" t="inlineStr">
        <is>
          <t>Contexte</t>
        </is>
      </c>
    </row>
    <row r="15">
      <c r="A15" s="40" t="inlineStr">
        <is>
          <t>Tickets</t>
        </is>
      </c>
      <c r="B15" s="41" t="inlineStr">
        <is>
          <t>—</t>
        </is>
      </c>
      <c r="C15" s="42">
        <f>'Données brutes'!C6</f>
        <v/>
      </c>
      <c r="D15" s="42">
        <f>'Données brutes'!C5</f>
        <v/>
      </c>
      <c r="E15" s="41" t="inlineStr">
        <is>
          <t>—</t>
        </is>
      </c>
      <c r="F15" s="43">
        <f>('Données brutes'!C6-'Données brutes'!C5)/'Données brutes'!C5</f>
        <v/>
      </c>
      <c r="G15" s="40" t="inlineStr">
        <is>
          <t>Tickets quasi stables malgré le trafic</t>
        </is>
      </c>
      <c r="H15" s="40" t="inlineStr">
        <is>
          <t>Contexte</t>
        </is>
      </c>
    </row>
    <row r="16">
      <c r="A16" s="40" t="inlineStr">
        <is>
          <t>Prix moyen par article</t>
        </is>
      </c>
      <c r="B16" s="41" t="inlineStr">
        <is>
          <t>—</t>
        </is>
      </c>
      <c r="C16" s="44">
        <f>'Données brutes'!L6</f>
        <v/>
      </c>
      <c r="D16" s="44">
        <f>'Données brutes'!L5</f>
        <v/>
      </c>
      <c r="E16" s="41" t="inlineStr">
        <is>
          <t>—</t>
        </is>
      </c>
      <c r="F16" s="43">
        <f>('Données brutes'!L6-'Données brutes'!L5)/'Données brutes'!L5</f>
        <v/>
      </c>
      <c r="G16" s="40" t="inlineStr">
        <is>
          <t>Hausse du prix moyen : effet prix/gamme à vérifier</t>
        </is>
      </c>
      <c r="H16" s="40" t="inlineStr">
        <is>
          <t>Contexte</t>
        </is>
      </c>
    </row>
  </sheetData>
  <conditionalFormatting sqref="E5:E11">
    <cfRule type="expression" priority="1" dxfId="0">
      <formula>$C5&gt;=$B5</formula>
    </cfRule>
    <cfRule type="expression" priority="2" dxfId="1">
      <formula>$C5&lt;$B5</formula>
    </cfRule>
  </conditionalFormatting>
  <conditionalFormatting sqref="G5:G11">
    <cfRule type="expression" priority="3" dxfId="2">
      <formula>$C5&gt;=$B5</formula>
    </cfRule>
    <cfRule type="expression" priority="4" dxfId="3">
      <formula>$C5&lt;$B5</formula>
    </cfRule>
  </conditionalFormatting>
  <conditionalFormatting sqref="F5:F11">
    <cfRule type="expression" priority="5" dxfId="3">
      <formula>$F5&lt;0</formula>
    </cfRule>
    <cfRule type="expression" priority="6" dxfId="2">
      <formula>$F5&gt;0</formula>
    </cfRule>
  </conditionalFormatting>
  <pageMargins left="0.7" right="0.7" top="0.75" bottom="0.75" header="0.3" footer="0.3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0"/>
  <sheetViews>
    <sheetView tabSelected="0" workbookViewId="0">
      <pane xSplit="1" ySplit="1" topLeftCell="B2" activePane="bottomRight" state="frozen"/>
      <selection pane="topRight"/>
      <selection pane="bottomLeft"/>
      <selection pane="bottomRight" activeCell="D14" sqref="D14"/>
    </sheetView>
  </sheetViews>
  <sheetFormatPr baseColWidth="8" defaultColWidth="8.875" defaultRowHeight="24.95" customHeight="1"/>
  <cols>
    <col width="24" customWidth="1" style="1" min="1" max="1"/>
    <col width="11" customWidth="1" style="1" min="2" max="8"/>
    <col width="10" customWidth="1" min="3" max="3"/>
    <col width="14" customWidth="1" min="4" max="4"/>
    <col width="13" customWidth="1" min="5" max="5"/>
    <col width="10" customWidth="1" min="6" max="6"/>
    <col width="13" customWidth="1" min="7" max="7"/>
    <col width="13" customWidth="1" min="8" max="8"/>
    <col width="15" customWidth="1" style="1" min="9" max="16384"/>
    <col width="15" customWidth="1" min="10" max="10"/>
    <col width="12" customWidth="1" min="11" max="11"/>
    <col width="15" customWidth="1" min="12" max="12"/>
    <col width="15" customWidth="1" min="13" max="13"/>
  </cols>
  <sheetData>
    <row r="1" ht="32" customFormat="1" customHeight="1" s="2">
      <c r="A1" s="20" t="inlineStr">
        <is>
          <t>Période</t>
        </is>
      </c>
      <c r="B1" s="20" t="inlineStr">
        <is>
          <t>Visiteurs</t>
        </is>
      </c>
      <c r="C1" s="20" t="inlineStr">
        <is>
          <t>Tickets</t>
        </is>
      </c>
      <c r="D1" s="20" t="inlineStr">
        <is>
          <t>Articles vendus</t>
        </is>
      </c>
      <c r="E1" s="20" t="inlineStr">
        <is>
          <t>CA TTC (€)</t>
        </is>
      </c>
      <c r="F1" s="20" t="inlineStr">
        <is>
          <t>CSAT (%)</t>
        </is>
      </c>
      <c r="G1" s="20" t="inlineStr">
        <is>
          <t>NPS (points)</t>
        </is>
      </c>
      <c r="H1" s="20" t="inlineStr">
        <is>
          <t>CES moyen /7</t>
        </is>
      </c>
      <c r="I1" s="20" t="inlineStr">
        <is>
          <t>Taux de transformation</t>
        </is>
      </c>
      <c r="J1" s="20" t="inlineStr">
        <is>
          <t>Panier moyen (€)</t>
        </is>
      </c>
      <c r="K1" s="20" t="inlineStr">
        <is>
          <t>Indice des ventes</t>
        </is>
      </c>
      <c r="L1" s="20" t="inlineStr">
        <is>
          <t>Prix moyen article (€)</t>
        </is>
      </c>
      <c r="M1" s="20" t="inlineStr">
        <is>
          <t>NPS recalculé (enquête)</t>
        </is>
      </c>
    </row>
    <row r="2" ht="24.95" customHeight="1">
      <c r="A2" s="45" t="inlineStr">
        <is>
          <t>Mai</t>
        </is>
      </c>
      <c r="B2" s="46" t="n">
        <v>6200</v>
      </c>
      <c r="C2" s="46" t="n">
        <v>1860</v>
      </c>
      <c r="D2" s="46" t="n">
        <v>3906</v>
      </c>
      <c r="E2" s="47" t="n">
        <v>93000</v>
      </c>
      <c r="F2" s="48" t="n">
        <v>91</v>
      </c>
      <c r="G2" s="48" t="n">
        <v>42</v>
      </c>
      <c r="H2" s="48" t="n">
        <v>5.8</v>
      </c>
      <c r="I2" s="49">
        <f>C2/B2</f>
        <v/>
      </c>
      <c r="J2" s="50">
        <f>E2/C2</f>
        <v/>
      </c>
      <c r="K2" s="51">
        <f>D2/C2</f>
        <v/>
      </c>
      <c r="L2" s="50">
        <f>E2/D2</f>
        <v/>
      </c>
      <c r="M2" s="52">
        <f>'Enquête satisfaction'!B2-'Enquête satisfaction'!C2</f>
        <v/>
      </c>
    </row>
    <row r="3" ht="24.95" customHeight="1">
      <c r="A3" s="45" t="inlineStr">
        <is>
          <t>Juin</t>
        </is>
      </c>
      <c r="B3" s="46" t="n">
        <v>6600</v>
      </c>
      <c r="C3" s="46" t="n">
        <v>1914</v>
      </c>
      <c r="D3" s="46" t="n">
        <v>4019</v>
      </c>
      <c r="E3" s="47" t="n">
        <v>97614</v>
      </c>
      <c r="F3" s="48" t="n">
        <v>90</v>
      </c>
      <c r="G3" s="48" t="n">
        <v>39</v>
      </c>
      <c r="H3" s="48" t="n">
        <v>5.7</v>
      </c>
      <c r="I3" s="49">
        <f>C3/B3</f>
        <v/>
      </c>
      <c r="J3" s="50">
        <f>E3/C3</f>
        <v/>
      </c>
      <c r="K3" s="51">
        <f>D3/C3</f>
        <v/>
      </c>
      <c r="L3" s="50">
        <f>E3/D3</f>
        <v/>
      </c>
      <c r="M3" s="52">
        <f>'Enquête satisfaction'!B3-'Enquête satisfaction'!C3</f>
        <v/>
      </c>
    </row>
    <row r="4" ht="24.95" customHeight="1">
      <c r="A4" s="45" t="inlineStr">
        <is>
          <t>Juillet</t>
        </is>
      </c>
      <c r="B4" s="46" t="n">
        <v>7100</v>
      </c>
      <c r="C4" s="46" t="n">
        <v>1988</v>
      </c>
      <c r="D4" s="46" t="n">
        <v>4175</v>
      </c>
      <c r="E4" s="47" t="n">
        <v>103376</v>
      </c>
      <c r="F4" s="48" t="n">
        <v>88</v>
      </c>
      <c r="G4" s="48" t="n">
        <v>34</v>
      </c>
      <c r="H4" s="48" t="n">
        <v>5.4</v>
      </c>
      <c r="I4" s="49">
        <f>C4/B4</f>
        <v/>
      </c>
      <c r="J4" s="50">
        <f>E4/C4</f>
        <v/>
      </c>
      <c r="K4" s="51">
        <f>D4/C4</f>
        <v/>
      </c>
      <c r="L4" s="50">
        <f>E4/D4</f>
        <v/>
      </c>
      <c r="M4" s="52">
        <f>'Enquête satisfaction'!B4-'Enquête satisfaction'!C4</f>
        <v/>
      </c>
    </row>
    <row r="5" ht="24.95" customHeight="1">
      <c r="A5" s="45" t="inlineStr">
        <is>
          <t>Août</t>
        </is>
      </c>
      <c r="B5" s="46" t="n">
        <v>7400</v>
      </c>
      <c r="C5" s="46" t="n">
        <v>1998</v>
      </c>
      <c r="D5" s="46" t="n">
        <v>4196</v>
      </c>
      <c r="E5" s="47" t="n">
        <v>105894</v>
      </c>
      <c r="F5" s="48" t="n">
        <v>85</v>
      </c>
      <c r="G5" s="48" t="n">
        <v>25</v>
      </c>
      <c r="H5" s="48" t="n">
        <v>5</v>
      </c>
      <c r="I5" s="49">
        <f>C5/B5</f>
        <v/>
      </c>
      <c r="J5" s="50">
        <f>E5/C5</f>
        <v/>
      </c>
      <c r="K5" s="51">
        <f>D5/C5</f>
        <v/>
      </c>
      <c r="L5" s="50">
        <f>E5/D5</f>
        <v/>
      </c>
      <c r="M5" s="52">
        <f>'Enquête satisfaction'!B5-'Enquête satisfaction'!C5</f>
        <v/>
      </c>
    </row>
    <row r="6" ht="24.95" customHeight="1">
      <c r="A6" s="45" t="inlineStr">
        <is>
          <t>Septembre</t>
        </is>
      </c>
      <c r="B6" s="46" t="n">
        <v>8000</v>
      </c>
      <c r="C6" s="46" t="n">
        <v>2000</v>
      </c>
      <c r="D6" s="46" t="n">
        <v>4000</v>
      </c>
      <c r="E6" s="47" t="n">
        <v>110000</v>
      </c>
      <c r="F6" s="48" t="n">
        <v>81</v>
      </c>
      <c r="G6" s="48" t="n">
        <v>16</v>
      </c>
      <c r="H6" s="48" t="n">
        <v>4.6</v>
      </c>
      <c r="I6" s="49">
        <f>C6/B6</f>
        <v/>
      </c>
      <c r="J6" s="50">
        <f>E6/C6</f>
        <v/>
      </c>
      <c r="K6" s="51">
        <f>D6/C6</f>
        <v/>
      </c>
      <c r="L6" s="50">
        <f>E6/D6</f>
        <v/>
      </c>
      <c r="M6" s="52">
        <f>'Enquête satisfaction'!B6-'Enquête satisfaction'!C6</f>
        <v/>
      </c>
    </row>
    <row r="9" ht="24.95" customHeight="1">
      <c r="A9" s="20" t="inlineStr">
        <is>
          <t>OBJECTIFS SEPTEMBRE</t>
        </is>
      </c>
      <c r="B9" s="20" t="inlineStr">
        <is>
          <t>Valeur</t>
        </is>
      </c>
      <c r="C9" s="53" t="inlineStr">
        <is>
          <t>Source : annexe 2 du sujet</t>
        </is>
      </c>
    </row>
    <row r="10" ht="24.95" customHeight="1">
      <c r="A10" s="45" t="inlineStr">
        <is>
          <t>CA TTC (€)</t>
        </is>
      </c>
      <c r="B10" s="54" t="n">
        <v>112000</v>
      </c>
    </row>
    <row r="11" ht="24.95" customHeight="1">
      <c r="A11" s="45" t="inlineStr">
        <is>
          <t>Taux transformation (%)</t>
        </is>
      </c>
      <c r="B11" s="55" t="n">
        <v>0.28</v>
      </c>
    </row>
    <row r="12" ht="24.95" customHeight="1">
      <c r="A12" s="45" t="inlineStr">
        <is>
          <t>Panier moyen (€)</t>
        </is>
      </c>
      <c r="B12" s="54" t="n">
        <v>53</v>
      </c>
    </row>
    <row r="13" ht="24.95" customHeight="1">
      <c r="A13" s="45" t="inlineStr">
        <is>
          <t>Indice des ventes</t>
        </is>
      </c>
      <c r="B13" s="56" t="n">
        <v>2.1</v>
      </c>
    </row>
    <row r="14" ht="24.95" customHeight="1">
      <c r="A14" s="45" t="inlineStr">
        <is>
          <t>CSAT (%)</t>
        </is>
      </c>
      <c r="B14" s="57" t="n">
        <v>90</v>
      </c>
    </row>
    <row r="15" ht="24.95" customHeight="1">
      <c r="A15" s="45" t="inlineStr">
        <is>
          <t>NPS (points)</t>
        </is>
      </c>
      <c r="B15" s="58" t="n">
        <v>35</v>
      </c>
    </row>
    <row r="16" ht="24.95" customHeight="1">
      <c r="A16" s="45" t="inlineStr">
        <is>
          <t>CES cible /7</t>
        </is>
      </c>
      <c r="B16" s="59" t="n">
        <v>5.5</v>
      </c>
    </row>
    <row r="17" ht="24.95" customHeight="1">
      <c r="A17" s="45" t="inlineStr">
        <is>
          <t>Période de référence</t>
        </is>
      </c>
      <c r="B17" s="45" t="inlineStr">
        <is>
          <t>Août</t>
        </is>
      </c>
    </row>
    <row r="19">
      <c r="A19" s="23" t="inlineStr">
        <is>
          <t>Formules : taux de transformation = tickets / visiteurs ; panier moyen = CA TTC / tickets ; indice des ventes = articles / tickets ; prix moyen article = CA TTC / articles ; NPS = % promoteurs − % détracteurs.</t>
        </is>
      </c>
    </row>
    <row r="20">
      <c r="A20" s="23" t="inlineStr">
        <is>
          <t>Cellules bleu clair = calculées par formule.</t>
        </is>
      </c>
    </row>
  </sheetData>
  <pageMargins left="0.7" right="0.7" top="0.75" bottom="0.75" header="0.3" footer="0.3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4"/>
  <sheetViews>
    <sheetView tabSelected="0"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15" customWidth="1" min="3" max="3"/>
    <col width="17" customWidth="1" min="4" max="4"/>
    <col width="20" customWidth="1" min="5" max="5"/>
    <col width="13" customWidth="1" min="6" max="6"/>
    <col width="16" customWidth="1" min="7" max="7"/>
  </cols>
  <sheetData>
    <row r="1">
      <c r="A1" s="17" t="inlineStr">
        <is>
          <t>CASA NOVA – Calculs (questions 4 à 7)</t>
        </is>
      </c>
    </row>
    <row r="2">
      <c r="A2" s="23" t="inlineStr">
        <is>
          <t>Toutes les valeurs sont calculées par formules à partir de la feuille « Données brutes » (août = ligne 5, septembre = ligne 6).</t>
        </is>
      </c>
    </row>
    <row r="4">
      <c r="A4" s="18" t="inlineStr">
        <is>
          <t>Q4 – Indicateurs d'efficacité commerciale</t>
        </is>
      </c>
    </row>
    <row r="5" ht="30" customHeight="1">
      <c r="A5" s="20" t="inlineStr">
        <is>
          <t>Indicateur</t>
        </is>
      </c>
      <c r="B5" s="20" t="inlineStr">
        <is>
          <t>Formule</t>
        </is>
      </c>
      <c r="C5" s="20" t="inlineStr">
        <is>
          <t>Août</t>
        </is>
      </c>
      <c r="D5" s="20" t="inlineStr">
        <is>
          <t>Septembre</t>
        </is>
      </c>
      <c r="E5" s="20" t="inlineStr">
        <is>
          <t>Objectif sept.</t>
        </is>
      </c>
    </row>
    <row r="6">
      <c r="A6" s="40" t="inlineStr">
        <is>
          <t>Taux de transformation</t>
        </is>
      </c>
      <c r="B6" s="40" t="inlineStr">
        <is>
          <t>Tickets / Visiteurs</t>
        </is>
      </c>
      <c r="C6" s="60">
        <f>'Données brutes'!I5</f>
        <v/>
      </c>
      <c r="D6" s="60">
        <f>'Données brutes'!I6</f>
        <v/>
      </c>
      <c r="E6" s="61">
        <f>'Données brutes'!B11</f>
        <v/>
      </c>
    </row>
    <row r="7">
      <c r="A7" s="40" t="inlineStr">
        <is>
          <t>Panier moyen</t>
        </is>
      </c>
      <c r="B7" s="40" t="inlineStr">
        <is>
          <t>CA TTC / Tickets</t>
        </is>
      </c>
      <c r="C7" s="62">
        <f>'Données brutes'!J5</f>
        <v/>
      </c>
      <c r="D7" s="62">
        <f>'Données brutes'!J6</f>
        <v/>
      </c>
      <c r="E7" s="44">
        <f>'Données brutes'!B12</f>
        <v/>
      </c>
    </row>
    <row r="8">
      <c r="A8" s="40" t="inlineStr">
        <is>
          <t>Indice des ventes (articles / ticket)</t>
        </is>
      </c>
      <c r="B8" s="40" t="inlineStr">
        <is>
          <t>Articles vendus / Tickets</t>
        </is>
      </c>
      <c r="C8" s="63">
        <f>'Données brutes'!K5</f>
        <v/>
      </c>
      <c r="D8" s="63">
        <f>'Données brutes'!K6</f>
        <v/>
      </c>
      <c r="E8" s="64">
        <f>'Données brutes'!B13</f>
        <v/>
      </c>
    </row>
    <row r="9">
      <c r="A9" s="40" t="inlineStr">
        <is>
          <t>Prix moyen par article</t>
        </is>
      </c>
      <c r="B9" s="40" t="inlineStr">
        <is>
          <t>CA TTC / Articles vendus</t>
        </is>
      </c>
      <c r="C9" s="62">
        <f>'Données brutes'!L5</f>
        <v/>
      </c>
      <c r="D9" s="62">
        <f>'Données brutes'!L6</f>
        <v/>
      </c>
      <c r="E9" s="44" t="inlineStr">
        <is>
          <t>—</t>
        </is>
      </c>
    </row>
    <row r="12">
      <c r="A12" s="18" t="inlineStr">
        <is>
          <t>Q5 – Évolution août → septembre</t>
        </is>
      </c>
    </row>
    <row r="13" ht="30" customHeight="1">
      <c r="A13" s="20" t="inlineStr">
        <is>
          <t>Indicateur</t>
        </is>
      </c>
      <c r="B13" s="20" t="inlineStr">
        <is>
          <t>Août</t>
        </is>
      </c>
      <c r="C13" s="20" t="inlineStr">
        <is>
          <t>Septembre</t>
        </is>
      </c>
      <c r="D13" s="20" t="inlineStr">
        <is>
          <t>Écart en valeur</t>
        </is>
      </c>
      <c r="E13" s="20" t="inlineStr">
        <is>
          <t>Évolution relative (%)</t>
        </is>
      </c>
    </row>
    <row r="14">
      <c r="A14" s="40" t="inlineStr">
        <is>
          <t>Chiffre d'affaires TTC</t>
        </is>
      </c>
      <c r="B14" s="65">
        <f>'Données brutes'!E5</f>
        <v/>
      </c>
      <c r="C14" s="65">
        <f>'Données brutes'!E6</f>
        <v/>
      </c>
      <c r="D14" s="66">
        <f>C14-B14</f>
        <v/>
      </c>
      <c r="E14" s="67">
        <f>(C14-B14)/B14</f>
        <v/>
      </c>
    </row>
    <row r="15">
      <c r="A15" s="40" t="inlineStr">
        <is>
          <t>Trafic (visiteurs)</t>
        </is>
      </c>
      <c r="B15" s="42">
        <f>'Données brutes'!B5</f>
        <v/>
      </c>
      <c r="C15" s="42">
        <f>'Données brutes'!B6</f>
        <v/>
      </c>
      <c r="D15" s="68">
        <f>C15-B15</f>
        <v/>
      </c>
      <c r="E15" s="67">
        <f>(C15-B15)/B15</f>
        <v/>
      </c>
    </row>
    <row r="16">
      <c r="A16" s="40" t="inlineStr">
        <is>
          <t>Nombre de tickets</t>
        </is>
      </c>
      <c r="B16" s="42">
        <f>'Données brutes'!C5</f>
        <v/>
      </c>
      <c r="C16" s="42">
        <f>'Données brutes'!C6</f>
        <v/>
      </c>
      <c r="D16" s="68">
        <f>C16-B16</f>
        <v/>
      </c>
      <c r="E16" s="67">
        <f>(C16-B16)/B16</f>
        <v/>
      </c>
    </row>
    <row r="17">
      <c r="A17" s="23" t="inlineStr">
        <is>
          <t>Évolution relative = (septembre − août) / août (la différence est rapportée à la valeur de départ).</t>
        </is>
      </c>
    </row>
    <row r="19">
      <c r="A19" s="18" t="inlineStr">
        <is>
          <t>Q6 – Écarts réalisé septembre / objectif</t>
        </is>
      </c>
    </row>
    <row r="20" ht="30" customHeight="1">
      <c r="A20" s="20" t="inlineStr">
        <is>
          <t>Indicateur</t>
        </is>
      </c>
      <c r="B20" s="20" t="inlineStr">
        <is>
          <t>Objectif</t>
        </is>
      </c>
      <c r="C20" s="20" t="inlineStr">
        <is>
          <t>Réalisé sept.</t>
        </is>
      </c>
      <c r="D20" s="20" t="inlineStr">
        <is>
          <t>Écart</t>
        </is>
      </c>
      <c r="E20" s="20" t="inlineStr">
        <is>
          <t>Unité de l'écart</t>
        </is>
      </c>
      <c r="F20" s="20" t="inlineStr">
        <is>
          <t>Écart relatif</t>
        </is>
      </c>
      <c r="G20" s="20" t="inlineStr">
        <is>
          <t>Objectif atteint ?</t>
        </is>
      </c>
    </row>
    <row r="21">
      <c r="A21" s="40" t="inlineStr">
        <is>
          <t>CA TTC</t>
        </is>
      </c>
      <c r="B21" s="65">
        <f>'Données brutes'!B10</f>
        <v/>
      </c>
      <c r="C21" s="65">
        <f>'Données brutes'!E6</f>
        <v/>
      </c>
      <c r="D21" s="66">
        <f>C21-B21</f>
        <v/>
      </c>
      <c r="E21" s="41" t="inlineStr">
        <is>
          <t>euros</t>
        </is>
      </c>
      <c r="F21" s="69">
        <f>(C21-B21)/B21</f>
        <v/>
      </c>
      <c r="G21" s="70">
        <f>IF(C21&gt;=B21,"Oui","Non")</f>
        <v/>
      </c>
    </row>
    <row r="22">
      <c r="A22" s="40" t="inlineStr">
        <is>
          <t>Taux de transformation</t>
        </is>
      </c>
      <c r="B22" s="61">
        <f>'Données brutes'!B11</f>
        <v/>
      </c>
      <c r="C22" s="61">
        <f>'Données brutes'!I6</f>
        <v/>
      </c>
      <c r="D22" s="71">
        <f>(C22-B22)*100</f>
        <v/>
      </c>
      <c r="E22" s="41" t="inlineStr">
        <is>
          <t>points de %</t>
        </is>
      </c>
      <c r="F22" s="69">
        <f>(C22-B22)/B22</f>
        <v/>
      </c>
      <c r="G22" s="70">
        <f>IF(C22&gt;=B22,"Oui","Non")</f>
        <v/>
      </c>
    </row>
    <row r="23">
      <c r="A23" s="40" t="inlineStr">
        <is>
          <t>Panier moyen</t>
        </is>
      </c>
      <c r="B23" s="44">
        <f>'Données brutes'!B12</f>
        <v/>
      </c>
      <c r="C23" s="44">
        <f>'Données brutes'!J6</f>
        <v/>
      </c>
      <c r="D23" s="72">
        <f>C23-B23</f>
        <v/>
      </c>
      <c r="E23" s="41" t="inlineStr">
        <is>
          <t>euros</t>
        </is>
      </c>
      <c r="F23" s="69">
        <f>(C23-B23)/B23</f>
        <v/>
      </c>
      <c r="G23" s="70">
        <f>IF(C23&gt;=B23,"Oui","Non")</f>
        <v/>
      </c>
    </row>
    <row r="24">
      <c r="A24" s="40" t="inlineStr">
        <is>
          <t>Indice des ventes</t>
        </is>
      </c>
      <c r="B24" s="64">
        <f>'Données brutes'!B13</f>
        <v/>
      </c>
      <c r="C24" s="64">
        <f>'Données brutes'!K6</f>
        <v/>
      </c>
      <c r="D24" s="73">
        <f>C24-B24</f>
        <v/>
      </c>
      <c r="E24" s="41" t="inlineStr">
        <is>
          <t>articles / ticket</t>
        </is>
      </c>
      <c r="F24" s="69">
        <f>(C24-B24)/B24</f>
        <v/>
      </c>
      <c r="G24" s="70">
        <f>IF(C24&gt;=B24,"Oui","Non")</f>
        <v/>
      </c>
    </row>
    <row r="25">
      <c r="A25" s="40" t="inlineStr">
        <is>
          <t>CSAT</t>
        </is>
      </c>
      <c r="B25" s="74">
        <f>'Données brutes'!B14</f>
        <v/>
      </c>
      <c r="C25" s="74">
        <f>'Données brutes'!F6</f>
        <v/>
      </c>
      <c r="D25" s="75">
        <f>C25-B25</f>
        <v/>
      </c>
      <c r="E25" s="41" t="inlineStr">
        <is>
          <t>points de %</t>
        </is>
      </c>
      <c r="F25" s="69">
        <f>(C25-B25)/B25</f>
        <v/>
      </c>
      <c r="G25" s="70">
        <f>IF(C25&gt;=B25,"Oui","Non")</f>
        <v/>
      </c>
    </row>
    <row r="26">
      <c r="A26" s="40" t="inlineStr">
        <is>
          <t>NPS</t>
        </is>
      </c>
      <c r="B26" s="76">
        <f>'Données brutes'!B15</f>
        <v/>
      </c>
      <c r="C26" s="76">
        <f>'Données brutes'!G6</f>
        <v/>
      </c>
      <c r="D26" s="75">
        <f>C26-B26</f>
        <v/>
      </c>
      <c r="E26" s="41" t="inlineStr">
        <is>
          <t>points de score NPS</t>
        </is>
      </c>
      <c r="F26" s="69">
        <f>(C26-B26)/B26</f>
        <v/>
      </c>
      <c r="G26" s="70">
        <f>IF(C26&gt;=B26,"Oui","Non")</f>
        <v/>
      </c>
    </row>
    <row r="27">
      <c r="A27" s="40" t="inlineStr">
        <is>
          <t>CES moyen /7</t>
        </is>
      </c>
      <c r="B27" s="77">
        <f>'Données brutes'!B16</f>
        <v/>
      </c>
      <c r="C27" s="77">
        <f>'Données brutes'!H6</f>
        <v/>
      </c>
      <c r="D27" s="78">
        <f>C27-B27</f>
        <v/>
      </c>
      <c r="E27" s="41" t="inlineStr">
        <is>
          <t>points de score (/7)</t>
        </is>
      </c>
      <c r="F27" s="69">
        <f>(C27-B27)/B27</f>
        <v/>
      </c>
      <c r="G27" s="70">
        <f>IF(C27&gt;=B27,"Oui","Non")</f>
        <v/>
      </c>
    </row>
    <row r="28">
      <c r="A28" s="23" t="inlineStr">
        <is>
          <t>Taux et CSAT : écart en points de pourcentage (pts). NPS : points de score (de −100 à +100). CES : points sur l'échelle de 1 à 7 (un score élevé est favorable).</t>
        </is>
      </c>
    </row>
    <row r="30">
      <c r="A30" s="18" t="inlineStr">
        <is>
          <t>Q7 – Contrôle de cohérence : CA reconstitué = tickets × panier moyen</t>
        </is>
      </c>
    </row>
    <row r="31" ht="30" customHeight="1">
      <c r="A31" s="20" t="inlineStr">
        <is>
          <t>Mois</t>
        </is>
      </c>
      <c r="B31" s="20" t="inlineStr">
        <is>
          <t>Tickets</t>
        </is>
      </c>
      <c r="C31" s="20" t="inlineStr">
        <is>
          <t>Panier moyen</t>
        </is>
      </c>
      <c r="D31" s="20" t="inlineStr">
        <is>
          <t>CA reconstitué</t>
        </is>
      </c>
      <c r="E31" s="20" t="inlineStr">
        <is>
          <t>CA réel</t>
        </is>
      </c>
      <c r="F31" s="20" t="inlineStr">
        <is>
          <t>Écart</t>
        </is>
      </c>
      <c r="G31" s="20" t="inlineStr">
        <is>
          <t>Cohérent ?</t>
        </is>
      </c>
    </row>
    <row r="32">
      <c r="A32" s="40" t="inlineStr">
        <is>
          <t>Août</t>
        </is>
      </c>
      <c r="B32" s="42">
        <f>'Données brutes'!C5</f>
        <v/>
      </c>
      <c r="C32" s="44">
        <f>'Données brutes'!J5</f>
        <v/>
      </c>
      <c r="D32" s="62">
        <f>B32*C32</f>
        <v/>
      </c>
      <c r="E32" s="44">
        <f>'Données brutes'!E5</f>
        <v/>
      </c>
      <c r="F32" s="62">
        <f>ROUND(D32-E32,2)</f>
        <v/>
      </c>
      <c r="G32" s="70">
        <f>IF(ABS(F32)&lt;0.01,"Oui","Non")</f>
        <v/>
      </c>
    </row>
    <row r="33">
      <c r="A33" s="40" t="inlineStr">
        <is>
          <t>Septembre</t>
        </is>
      </c>
      <c r="B33" s="42">
        <f>'Données brutes'!C6</f>
        <v/>
      </c>
      <c r="C33" s="44">
        <f>'Données brutes'!J6</f>
        <v/>
      </c>
      <c r="D33" s="62">
        <f>B33*C33</f>
        <v/>
      </c>
      <c r="E33" s="44">
        <f>'Données brutes'!E6</f>
        <v/>
      </c>
      <c r="F33" s="62">
        <f>ROUND(D33-E33,2)</f>
        <v/>
      </c>
      <c r="G33" s="70">
        <f>IF(ABS(F33)&lt;0.01,"Oui","Non")</f>
        <v/>
      </c>
    </row>
    <row r="34">
      <c r="A34" s="23" t="inlineStr">
        <is>
          <t>Le CA reconstitué est égal au CA réel : les indicateurs calculés sont cohérents entre eux (CA = visiteurs × taux de transformation × panier moyen).</t>
        </is>
      </c>
    </row>
  </sheetData>
  <conditionalFormatting sqref="G21:G27">
    <cfRule type="expression" priority="1" dxfId="0">
      <formula>G21="Oui"</formula>
    </cfRule>
    <cfRule type="expression" priority="2" dxfId="1">
      <formula>G21="Non"</formula>
    </cfRule>
  </conditionalFormatting>
  <conditionalFormatting sqref="G32:G33">
    <cfRule type="expression" priority="3" dxfId="0">
      <formula>G32="Oui"</formula>
    </cfRule>
    <cfRule type="expression" priority="4" dxfId="1">
      <formula>G32="Non"</formula>
    </cfRule>
  </conditionalFormatting>
  <pageMargins left="0.75" right="0.75" top="1" bottom="1" header="0.5" footer="0.5"/>
  <pageSetup orientation="landscape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tabSelected="0" workbookViewId="0">
      <selection activeCell="C14" sqref="C14"/>
    </sheetView>
  </sheetViews>
  <sheetFormatPr baseColWidth="8" defaultColWidth="8.875" defaultRowHeight="24.95" customHeight="1"/>
  <cols>
    <col width="12" customWidth="1" style="13" min="1" max="1"/>
    <col width="15" customWidth="1" style="13" min="2" max="8"/>
    <col width="15" customWidth="1" min="3" max="3"/>
    <col width="13" customWidth="1" min="4" max="4"/>
    <col width="22" customWidth="1" min="5" max="5"/>
    <col width="22" customWidth="1" min="6" max="6"/>
    <col width="8.875" customWidth="1" style="13" min="9" max="16384"/>
  </cols>
  <sheetData>
    <row r="1" ht="32" customFormat="1" customHeight="1" s="2">
      <c r="A1" s="20" t="inlineStr">
        <is>
          <t>Mois</t>
        </is>
      </c>
      <c r="B1" s="20" t="inlineStr">
        <is>
          <t>Promoteurs (%)</t>
        </is>
      </c>
      <c r="C1" s="20" t="inlineStr">
        <is>
          <t>Détracteurs (%)</t>
        </is>
      </c>
      <c r="D1" s="20" t="inlineStr">
        <is>
          <t>Passifs (%)</t>
        </is>
      </c>
      <c r="E1" s="20" t="inlineStr">
        <is>
          <t>NPS (pts) = promoteurs − détracteurs</t>
        </is>
      </c>
      <c r="F1" s="20" t="inlineStr">
        <is>
          <t>Contrôle (promo + détrac + passifs)</t>
        </is>
      </c>
      <c r="G1" s="3" t="n"/>
      <c r="H1" s="3" t="n"/>
    </row>
    <row r="2" ht="24.95" customHeight="1">
      <c r="A2" s="79" t="inlineStr">
        <is>
          <t>Mai</t>
        </is>
      </c>
      <c r="B2" s="80" t="n">
        <v>59</v>
      </c>
      <c r="C2" s="80" t="n">
        <v>17</v>
      </c>
      <c r="D2" s="80" t="n">
        <v>24</v>
      </c>
      <c r="E2" s="81">
        <f>B2-C2</f>
        <v/>
      </c>
      <c r="F2" s="82">
        <f>B2+C2+D2</f>
        <v/>
      </c>
    </row>
    <row r="3" ht="24.95" customHeight="1">
      <c r="A3" s="79" t="inlineStr">
        <is>
          <t>Juin</t>
        </is>
      </c>
      <c r="B3" s="80" t="n">
        <v>57</v>
      </c>
      <c r="C3" s="80" t="n">
        <v>18</v>
      </c>
      <c r="D3" s="80" t="n">
        <v>25</v>
      </c>
      <c r="E3" s="81">
        <f>B3-C3</f>
        <v/>
      </c>
      <c r="F3" s="82">
        <f>B3+C3+D3</f>
        <v/>
      </c>
    </row>
    <row r="4" ht="24.95" customHeight="1">
      <c r="A4" s="79" t="inlineStr">
        <is>
          <t>Juillet</t>
        </is>
      </c>
      <c r="B4" s="80" t="n">
        <v>54</v>
      </c>
      <c r="C4" s="80" t="n">
        <v>20</v>
      </c>
      <c r="D4" s="80" t="n">
        <v>26</v>
      </c>
      <c r="E4" s="81">
        <f>B4-C4</f>
        <v/>
      </c>
      <c r="F4" s="82">
        <f>B4+C4+D4</f>
        <v/>
      </c>
    </row>
    <row r="5" ht="24.95" customHeight="1">
      <c r="A5" s="79" t="inlineStr">
        <is>
          <t>Août</t>
        </is>
      </c>
      <c r="B5" s="80" t="n">
        <v>48</v>
      </c>
      <c r="C5" s="80" t="n">
        <v>23</v>
      </c>
      <c r="D5" s="80" t="n">
        <v>29</v>
      </c>
      <c r="E5" s="81">
        <f>B5-C5</f>
        <v/>
      </c>
      <c r="F5" s="82">
        <f>B5+C5+D5</f>
        <v/>
      </c>
    </row>
    <row r="6" ht="24.95" customHeight="1">
      <c r="A6" s="79" t="inlineStr">
        <is>
          <t>Septembre</t>
        </is>
      </c>
      <c r="B6" s="80" t="n">
        <v>44</v>
      </c>
      <c r="C6" s="80" t="n">
        <v>28</v>
      </c>
      <c r="D6" s="80" t="n">
        <v>28</v>
      </c>
      <c r="E6" s="81">
        <f>B6-C6</f>
        <v/>
      </c>
      <c r="F6" s="82">
        <f>B6+C6+D6</f>
        <v/>
      </c>
    </row>
  </sheetData>
  <pageMargins left="0.7" right="0.7" top="0.75" bottom="0.75" header="0.3" footer="0.3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2026-10-19T12:08:47Z</dcterms:created>
  <dcterms:modified xmlns:dcterms="http://purl.org/dc/terms/" xmlns:xsi="http://www.w3.org/2001/XMLSchema-instance" xsi:type="dcterms:W3CDTF">2026-10-20T10:12:21Z</dcterms:modified>
  <cp:lastModifiedBy>Marine Ploton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0x0101002EC004FE8BB3024E8B667535A188F346</vt:lpwstr>
  </property>
</Properties>
</file>