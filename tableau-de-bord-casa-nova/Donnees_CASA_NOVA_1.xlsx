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0" yWindow="640" windowWidth="38400" windowHeight="19200" tabRatio="600" firstSheet="0" activeTab="0" autoFilterDateGrouping="1"/>
  </bookViews>
  <sheets>
    <sheet xmlns:r="http://schemas.openxmlformats.org/officeDocument/2006/relationships" name="Données brutes" sheetId="1" state="visible" r:id="rId1"/>
    <sheet xmlns:r="http://schemas.openxmlformats.org/officeDocument/2006/relationships" name="Tableau de bord à créer" sheetId="2" state="visible" r:id="rId2"/>
    <sheet xmlns:r="http://schemas.openxmlformats.org/officeDocument/2006/relationships" name="Enquête satisfactio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8">
    <numFmt numFmtId="164" formatCode="_ * #,##0_)_ ;_ * \(#,##0\)_ ;_ * &quot;-&quot;??_)_ ;_ @_ "/>
    <numFmt numFmtId="165" formatCode="_-* #,##0\ [$€-40C]_-;\-* #,##0\ [$€-40C]_-;_-* &quot;-&quot;??\ [$€-40C]_-;_-@_-"/>
    <numFmt numFmtId="166" formatCode="_ * #,##0.00_)\ &quot;€&quot;_ ;_ * \(#,##0.00\)\ &quot;€&quot;_ ;_ * &quot;-&quot;??_)\ &quot;€&quot;_ ;_ @_ "/>
    <numFmt numFmtId="167" formatCode="_ * #,##0.00_)_ ;_ * \(#,##0.00\)_ ;_ * &quot;-&quot;??_)_ ;_ @_ "/>
    <numFmt numFmtId="168" formatCode="#,##0 €"/>
    <numFmt numFmtId="169" formatCode="0.0"/>
    <numFmt numFmtId="170" formatCode="0.0%"/>
    <numFmt numFmtId="171" formatCode="#,##0.00 €"/>
    <numFmt numFmtId="172" formatCode="+#,##0 €;-#,##0 €"/>
    <numFmt numFmtId="173" formatCode="+0.00%;-0.00%"/>
    <numFmt numFmtId="174" formatCode="+#,##0;-#,##0"/>
    <numFmt numFmtId="175" formatCode="+0.0%;-0.0%"/>
    <numFmt numFmtId="176" formatCode="+0.0&quot; pts&quot;;-0.0&quot; pts&quot;"/>
    <numFmt numFmtId="177" formatCode="+0.00 €;-0.00 €"/>
    <numFmt numFmtId="178" formatCode="+0.00;-0.00"/>
    <numFmt numFmtId="179" formatCode="0&quot; %&quot;"/>
    <numFmt numFmtId="180" formatCode="+0&quot; pts&quot;;-0&quot; pts&quot;"/>
    <numFmt numFmtId="181" formatCode="+0.0;-0.0"/>
  </numFmts>
  <fonts count="6">
    <font>
      <name val="Carlito"/>
      <sz val="11"/>
    </font>
    <font>
      <name val="Carlito"/>
      <sz val="11"/>
    </font>
    <font>
      <name val="Avenir Book"/>
      <family val="2"/>
      <b val="1"/>
      <color theme="1"/>
      <sz val="11"/>
    </font>
    <font>
      <name val="Avenir Book"/>
      <family val="2"/>
      <color theme="1"/>
      <sz val="11"/>
    </font>
    <font>
      <name val="Avenir Book"/>
      <family val="2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7" fontId="1" fillId="0" borderId="0"/>
    <xf numFmtId="166" fontId="1" fillId="0" borderId="0"/>
    <xf numFmtId="9" fontId="1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1"/>
    <xf numFmtId="165" fontId="3" fillId="0" borderId="1" pivotButton="0" quotePrefix="0" xfId="0"/>
    <xf numFmtId="0" fontId="3" fillId="0" borderId="1" applyAlignment="1" pivotButton="0" quotePrefix="0" xfId="0">
      <alignment horizontal="center"/>
    </xf>
    <xf numFmtId="166" fontId="3" fillId="0" borderId="1" pivotButton="0" quotePrefix="0" xfId="2"/>
    <xf numFmtId="9" fontId="3" fillId="0" borderId="1" pivotButton="0" quotePrefix="0" xfId="3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164" fontId="3" fillId="0" borderId="1" pivotButton="0" quotePrefix="0" xfId="1"/>
    <xf numFmtId="165" fontId="3" fillId="0" borderId="1" pivotButton="0" quotePrefix="0" xfId="0"/>
    <xf numFmtId="170" fontId="0" fillId="0" borderId="0" pivotButton="0" quotePrefix="0" xfId="0"/>
    <xf numFmtId="171" fontId="0" fillId="0" borderId="0" pivotButton="0" quotePrefix="0" xfId="0"/>
    <xf numFmtId="2" fontId="0" fillId="0" borderId="0" pivotButton="0" quotePrefix="0" xfId="0"/>
    <xf numFmtId="168" fontId="3" fillId="0" borderId="1" pivotButton="0" quotePrefix="0" xfId="2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2" fontId="3" fillId="0" borderId="1" pivotButton="0" quotePrefix="0" xfId="0"/>
    <xf numFmtId="1" fontId="3" fillId="0" borderId="1" pivotButton="0" quotePrefix="0" xfId="0"/>
    <xf numFmtId="169" fontId="3" fillId="0" borderId="1" pivotButton="0" quotePrefix="0" xfId="0"/>
    <xf numFmtId="168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180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181" fontId="0" fillId="0" borderId="0" pivotButton="0" quotePrefix="0" xfId="0"/>
    <xf numFmtId="0" fontId="5" fillId="0" borderId="0" applyAlignment="1" pivotButton="0" quotePrefix="0" xfId="0">
      <alignment horizontal="center"/>
    </xf>
  </cellXfs>
  <cellStyles count="4">
    <cellStyle name="Normal" xfId="0" builtinId="0"/>
    <cellStyle name="Milliers" xfId="1" builtinId="3"/>
    <cellStyle name="Monétaire" xfId="2" builtinId="4"/>
    <cellStyle name="Pourcentage" xfId="3" builtinId="5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TTC et taux de transformation (mai à sept.)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'Données brutes'!E1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'Données brutes'!$A$2:$A$6</f>
            </numRef>
          </cat>
          <val>
            <numRef>
              <f>'Données brutes'!$E$2:$E$6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'Données brutes'!I1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'Données brutes'!$I$2:$I$6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80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 TTC (€)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de transformation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Satisfaction client : CSAT et NPS (mai à sept.)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brutes'!F1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'Données brutes'!$A$2:$A$6</f>
            </numRef>
          </cat>
          <val>
            <numRef>
              <f>'Données brutes'!$F$2:$F$6</f>
            </numRef>
          </val>
          <smooth val="0"/>
        </ser>
        <ser>
          <idx val="1"/>
          <order val="1"/>
          <tx>
            <strRef>
              <f>'Données brutes'!G1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'Données brutes'!$A$2:$A$6</f>
            </numRef>
          </cat>
          <val>
            <numRef>
              <f>'Données brutes'!$G$2:$G$6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D14" sqref="D14"/>
    </sheetView>
  </sheetViews>
  <sheetFormatPr baseColWidth="8" defaultColWidth="8.875" defaultRowHeight="24.95" customHeight="1"/>
  <cols>
    <col width="26" customWidth="1" style="1" min="1" max="1"/>
    <col width="11" customWidth="1" style="1" min="2" max="8"/>
    <col width="10" customWidth="1" min="3" max="3"/>
    <col width="22" customWidth="1" min="4" max="4"/>
    <col width="13" customWidth="1" min="5" max="5"/>
    <col width="12" customWidth="1" min="6" max="6"/>
    <col width="13" customWidth="1" min="7" max="7"/>
    <col width="13" customWidth="1" min="8" max="8"/>
    <col width="22" customWidth="1" style="1" min="9" max="16384"/>
    <col width="16" customWidth="1" min="10" max="10"/>
    <col width="17" customWidth="1" min="11" max="11"/>
    <col width="20" customWidth="1" min="12" max="12"/>
  </cols>
  <sheetData>
    <row r="1" ht="24.95" customFormat="1" customHeight="1" s="2">
      <c r="A1" s="4" t="inlineStr">
        <is>
          <t>Période</t>
        </is>
      </c>
      <c r="B1" s="4" t="inlineStr">
        <is>
          <t>Visiteurs</t>
        </is>
      </c>
      <c r="C1" s="4" t="inlineStr">
        <is>
          <t>Tickets</t>
        </is>
      </c>
      <c r="D1" s="4" t="inlineStr">
        <is>
          <t>Articles vendus</t>
        </is>
      </c>
      <c r="E1" s="4" t="inlineStr">
        <is>
          <t>CA TTC (€)</t>
        </is>
      </c>
      <c r="F1" s="4" t="inlineStr">
        <is>
          <t>CSAT (%)</t>
        </is>
      </c>
      <c r="G1" s="4" t="inlineStr">
        <is>
          <t>NPS (points)</t>
        </is>
      </c>
      <c r="H1" s="4" t="inlineStr">
        <is>
          <t>CES moyen /7</t>
        </is>
      </c>
      <c r="I1" s="17" t="inlineStr">
        <is>
          <t>Taux de transformation</t>
        </is>
      </c>
      <c r="J1" s="17" t="inlineStr">
        <is>
          <t>Panier moyen (€)</t>
        </is>
      </c>
      <c r="K1" s="17" t="inlineStr">
        <is>
          <t>Indice des ventes</t>
        </is>
      </c>
      <c r="L1" s="17" t="inlineStr">
        <is>
          <t>Prix moyen article (€)</t>
        </is>
      </c>
    </row>
    <row r="2" ht="24.95" customHeight="1">
      <c r="A2" s="5" t="inlineStr">
        <is>
          <t>Mai</t>
        </is>
      </c>
      <c r="B2" s="18" t="n">
        <v>6200</v>
      </c>
      <c r="C2" s="18" t="n">
        <v>1860</v>
      </c>
      <c r="D2" s="18" t="n">
        <v>3906</v>
      </c>
      <c r="E2" s="19" t="n">
        <v>93000</v>
      </c>
      <c r="F2" s="8" t="n">
        <v>91</v>
      </c>
      <c r="G2" s="8" t="n">
        <v>42</v>
      </c>
      <c r="H2" s="8" t="n">
        <v>5.8</v>
      </c>
      <c r="I2" s="20">
        <f>C2/B2</f>
        <v/>
      </c>
      <c r="J2" s="21">
        <f>E2/C2</f>
        <v/>
      </c>
      <c r="K2" s="22">
        <f>D2/C2</f>
        <v/>
      </c>
      <c r="L2" s="21">
        <f>E2/D2</f>
        <v/>
      </c>
    </row>
    <row r="3" ht="24.95" customHeight="1">
      <c r="A3" s="5" t="inlineStr">
        <is>
          <t>Juin</t>
        </is>
      </c>
      <c r="B3" s="18" t="n">
        <v>6600</v>
      </c>
      <c r="C3" s="18" t="n">
        <v>1914</v>
      </c>
      <c r="D3" s="18" t="n">
        <v>4019</v>
      </c>
      <c r="E3" s="19" t="n">
        <v>97614</v>
      </c>
      <c r="F3" s="8" t="n">
        <v>90</v>
      </c>
      <c r="G3" s="8" t="n">
        <v>39</v>
      </c>
      <c r="H3" s="8" t="n">
        <v>5.7</v>
      </c>
      <c r="I3" s="20">
        <f>C3/B3</f>
        <v/>
      </c>
      <c r="J3" s="21">
        <f>E3/C3</f>
        <v/>
      </c>
      <c r="K3" s="22">
        <f>D3/C3</f>
        <v/>
      </c>
      <c r="L3" s="21">
        <f>E3/D3</f>
        <v/>
      </c>
    </row>
    <row r="4" ht="24.95" customHeight="1">
      <c r="A4" s="5" t="inlineStr">
        <is>
          <t>Juillet</t>
        </is>
      </c>
      <c r="B4" s="18" t="n">
        <v>7100</v>
      </c>
      <c r="C4" s="18" t="n">
        <v>1988</v>
      </c>
      <c r="D4" s="18" t="n">
        <v>4175</v>
      </c>
      <c r="E4" s="19" t="n">
        <v>103376</v>
      </c>
      <c r="F4" s="8" t="n">
        <v>88</v>
      </c>
      <c r="G4" s="8" t="n">
        <v>34</v>
      </c>
      <c r="H4" s="8" t="n">
        <v>5.4</v>
      </c>
      <c r="I4" s="20">
        <f>C4/B4</f>
        <v/>
      </c>
      <c r="J4" s="21">
        <f>E4/C4</f>
        <v/>
      </c>
      <c r="K4" s="22">
        <f>D4/C4</f>
        <v/>
      </c>
      <c r="L4" s="21">
        <f>E4/D4</f>
        <v/>
      </c>
    </row>
    <row r="5" ht="24.95" customHeight="1">
      <c r="A5" s="5" t="inlineStr">
        <is>
          <t>Août</t>
        </is>
      </c>
      <c r="B5" s="18" t="n">
        <v>7400</v>
      </c>
      <c r="C5" s="18" t="n">
        <v>1998</v>
      </c>
      <c r="D5" s="18" t="n">
        <v>4196</v>
      </c>
      <c r="E5" s="19" t="n">
        <v>105894</v>
      </c>
      <c r="F5" s="8" t="n">
        <v>85</v>
      </c>
      <c r="G5" s="8" t="n">
        <v>25</v>
      </c>
      <c r="H5" s="8" t="n">
        <v>5</v>
      </c>
      <c r="I5" s="20">
        <f>C5/B5</f>
        <v/>
      </c>
      <c r="J5" s="21">
        <f>E5/C5</f>
        <v/>
      </c>
      <c r="K5" s="22">
        <f>D5/C5</f>
        <v/>
      </c>
      <c r="L5" s="21">
        <f>E5/D5</f>
        <v/>
      </c>
    </row>
    <row r="6" ht="24.95" customHeight="1">
      <c r="A6" s="5" t="inlineStr">
        <is>
          <t>Septembre</t>
        </is>
      </c>
      <c r="B6" s="18" t="n">
        <v>8000</v>
      </c>
      <c r="C6" s="18" t="n">
        <v>2000</v>
      </c>
      <c r="D6" s="18" t="n">
        <v>4000</v>
      </c>
      <c r="E6" s="19" t="n">
        <v>110000</v>
      </c>
      <c r="F6" s="8" t="n">
        <v>81</v>
      </c>
      <c r="G6" s="8" t="n">
        <v>16</v>
      </c>
      <c r="H6" s="8" t="n">
        <v>4.6</v>
      </c>
      <c r="I6" s="20">
        <f>C6/B6</f>
        <v/>
      </c>
      <c r="J6" s="21">
        <f>E6/C6</f>
        <v/>
      </c>
      <c r="K6" s="22">
        <f>D6/C6</f>
        <v/>
      </c>
      <c r="L6" s="21">
        <f>E6/D6</f>
        <v/>
      </c>
    </row>
    <row r="9" ht="24.95" customHeight="1">
      <c r="A9" s="4" t="inlineStr">
        <is>
          <t>OBJECTIFS SEPTEMBRE</t>
        </is>
      </c>
      <c r="B9" s="4" t="inlineStr">
        <is>
          <t>Valeur</t>
        </is>
      </c>
      <c r="D9" s="17" t="inlineStr">
        <is>
          <t>ÉVOLUTION AOÛT → SEPT. (Q5)</t>
        </is>
      </c>
      <c r="E9" s="17" t="inlineStr">
        <is>
          <t>Écart</t>
        </is>
      </c>
      <c r="F9" s="17" t="inlineStr">
        <is>
          <t>Évolution %</t>
        </is>
      </c>
      <c r="H9" s="17" t="inlineStr">
        <is>
          <t>CONTRÔLE (Q7)</t>
        </is>
      </c>
      <c r="I9" s="17" t="inlineStr">
        <is>
          <t>CA reconstitué</t>
        </is>
      </c>
      <c r="J9" s="17" t="inlineStr">
        <is>
          <t>CA réel</t>
        </is>
      </c>
      <c r="K9" s="17" t="inlineStr">
        <is>
          <t>Écart</t>
        </is>
      </c>
    </row>
    <row r="10" ht="24.95" customHeight="1">
      <c r="A10" s="5" t="inlineStr">
        <is>
          <t>CA TTC (€)</t>
        </is>
      </c>
      <c r="B10" s="23" t="n">
        <v>112000</v>
      </c>
      <c r="D10" t="inlineStr">
        <is>
          <t>CA TTC (€)</t>
        </is>
      </c>
      <c r="E10" s="24">
        <f>E6-E5</f>
        <v/>
      </c>
      <c r="F10" s="25">
        <f>(E6-E5)/E5</f>
        <v/>
      </c>
      <c r="H10" t="inlineStr">
        <is>
          <t>Août</t>
        </is>
      </c>
      <c r="I10" s="21">
        <f>C5*J5</f>
        <v/>
      </c>
      <c r="J10" s="21">
        <f>E5</f>
        <v/>
      </c>
      <c r="K10" s="21">
        <f>I10-J10</f>
        <v/>
      </c>
    </row>
    <row r="11" ht="24.95" customHeight="1">
      <c r="A11" s="5" t="inlineStr">
        <is>
          <t>Taux transformation (%)</t>
        </is>
      </c>
      <c r="B11" s="10" t="n">
        <v>0.28</v>
      </c>
      <c r="D11" t="inlineStr">
        <is>
          <t>Visiteurs</t>
        </is>
      </c>
      <c r="E11" s="26">
        <f>B6-B5</f>
        <v/>
      </c>
      <c r="F11" s="25">
        <f>(B6-B5)/B5</f>
        <v/>
      </c>
      <c r="H11" t="inlineStr">
        <is>
          <t>Septembre</t>
        </is>
      </c>
      <c r="I11" s="21">
        <f>C6*J6</f>
        <v/>
      </c>
      <c r="J11" s="21">
        <f>E6</f>
        <v/>
      </c>
      <c r="K11" s="21">
        <f>I11-J11</f>
        <v/>
      </c>
    </row>
    <row r="12" ht="24.95" customHeight="1">
      <c r="A12" s="5" t="inlineStr">
        <is>
          <t>Panier moyen (€)</t>
        </is>
      </c>
      <c r="B12" s="23" t="n">
        <v>53</v>
      </c>
      <c r="D12" t="inlineStr">
        <is>
          <t>Tickets</t>
        </is>
      </c>
      <c r="E12" s="26">
        <f>C6-C5</f>
        <v/>
      </c>
      <c r="F12" s="25">
        <f>(C6-C5)/C5</f>
        <v/>
      </c>
      <c r="H12" t="inlineStr">
        <is>
          <t>Tickets × panier moyen = CA réel : les calculs sont cohérents.</t>
        </is>
      </c>
    </row>
    <row r="13" ht="24.95" customHeight="1">
      <c r="A13" s="5" t="inlineStr">
        <is>
          <t>Indice des ventes</t>
        </is>
      </c>
      <c r="B13" s="27" t="n">
        <v>2.1</v>
      </c>
    </row>
    <row r="14" ht="24.95" customHeight="1">
      <c r="A14" s="5" t="inlineStr">
        <is>
          <t>CSAT (%)</t>
        </is>
      </c>
      <c r="B14" s="28" t="n">
        <v>90</v>
      </c>
    </row>
    <row r="15" ht="24.95" customHeight="1">
      <c r="A15" s="5" t="inlineStr">
        <is>
          <t>NPS (points)</t>
        </is>
      </c>
      <c r="B15" s="28" t="n">
        <v>35</v>
      </c>
    </row>
    <row r="16" ht="24.95" customHeight="1">
      <c r="A16" s="5" t="inlineStr">
        <is>
          <t>CES cible /7</t>
        </is>
      </c>
      <c r="B16" s="29" t="n">
        <v>5.5</v>
      </c>
    </row>
    <row r="17" ht="24.95" customHeight="1">
      <c r="A17" s="5" t="inlineStr">
        <is>
          <t>Période de référence</t>
        </is>
      </c>
      <c r="B17" s="5" t="inlineStr">
        <is>
          <t>Août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8" sqref="A8"/>
    </sheetView>
  </sheetViews>
  <sheetFormatPr baseColWidth="8" defaultColWidth="8.875" defaultRowHeight="24.95" customHeight="1"/>
  <cols>
    <col width="24" customWidth="1" style="16" min="1" max="1"/>
    <col width="12" customWidth="1" style="16" min="2" max="6"/>
    <col width="13" customWidth="1" min="3" max="3"/>
    <col width="12" customWidth="1" min="4" max="4"/>
    <col width="14" customWidth="1" min="5" max="5"/>
    <col width="18" customWidth="1" min="6" max="6"/>
    <col width="14" customWidth="1" style="16" min="7" max="7"/>
    <col width="20" customWidth="1" style="16" min="8" max="8"/>
    <col width="8.875" customWidth="1" style="16" min="9" max="16384"/>
  </cols>
  <sheetData>
    <row r="1" ht="24.95" customFormat="1" customHeight="1" s="12">
      <c r="A1" s="11" t="inlineStr">
        <is>
          <t>KPI sélectionné</t>
        </is>
      </c>
      <c r="B1" s="11" t="inlineStr">
        <is>
          <t>Objectif</t>
        </is>
      </c>
      <c r="C1" s="11" t="inlineStr">
        <is>
          <t>Réalisé sept.</t>
        </is>
      </c>
      <c r="D1" s="11" t="inlineStr">
        <is>
          <t>Réalisé août</t>
        </is>
      </c>
      <c r="E1" s="11" t="inlineStr">
        <is>
          <t>Écart objectif</t>
        </is>
      </c>
      <c r="F1" s="11" t="inlineStr">
        <is>
          <t>Évolution août/sept.</t>
        </is>
      </c>
      <c r="G1" s="11" t="inlineStr">
        <is>
          <t>Statut / décision</t>
        </is>
      </c>
      <c r="H1" s="11" t="n"/>
    </row>
    <row r="2">
      <c r="A2" t="inlineStr">
        <is>
          <t>CA TTC (€)</t>
        </is>
      </c>
      <c r="B2" s="30">
        <f>'Données brutes'!B10</f>
        <v/>
      </c>
      <c r="C2" s="30">
        <f>'Données brutes'!E6</f>
        <v/>
      </c>
      <c r="D2" s="30">
        <f>'Données brutes'!E5</f>
        <v/>
      </c>
      <c r="E2" s="24">
        <f>C2-B2</f>
        <v/>
      </c>
      <c r="F2" s="31">
        <f>(C2-D2)/D2</f>
        <v/>
      </c>
      <c r="G2">
        <f>IF(C2&gt;=B2,"Atteint","Non atteint")</f>
        <v/>
      </c>
    </row>
    <row r="3">
      <c r="A3" t="inlineStr">
        <is>
          <t>Taux de transformation</t>
        </is>
      </c>
      <c r="B3" s="20">
        <f>'Données brutes'!B11</f>
        <v/>
      </c>
      <c r="C3" s="20">
        <f>'Données brutes'!I6</f>
        <v/>
      </c>
      <c r="D3" s="20">
        <f>'Données brutes'!I5</f>
        <v/>
      </c>
      <c r="E3" s="32">
        <f>(C3-B3)*100</f>
        <v/>
      </c>
      <c r="F3" s="32">
        <f>(C3-D3)*100</f>
        <v/>
      </c>
      <c r="G3">
        <f>IF(C3&gt;=B3,"Atteint","Non atteint")</f>
        <v/>
      </c>
    </row>
    <row r="4">
      <c r="A4" t="inlineStr">
        <is>
          <t>Panier moyen (€)</t>
        </is>
      </c>
      <c r="B4" s="21">
        <f>'Données brutes'!B12</f>
        <v/>
      </c>
      <c r="C4" s="21">
        <f>'Données brutes'!J6</f>
        <v/>
      </c>
      <c r="D4" s="21">
        <f>'Données brutes'!J5</f>
        <v/>
      </c>
      <c r="E4" s="33">
        <f>C4-B4</f>
        <v/>
      </c>
      <c r="F4" s="33">
        <f>C4-D4</f>
        <v/>
      </c>
      <c r="G4">
        <f>IF(C4&gt;=B4,"Atteint","Non atteint")</f>
        <v/>
      </c>
    </row>
    <row r="5">
      <c r="A5" t="inlineStr">
        <is>
          <t>Indice des ventes</t>
        </is>
      </c>
      <c r="B5" s="22">
        <f>'Données brutes'!B13</f>
        <v/>
      </c>
      <c r="C5" s="22">
        <f>'Données brutes'!K6</f>
        <v/>
      </c>
      <c r="D5" s="22">
        <f>'Données brutes'!K5</f>
        <v/>
      </c>
      <c r="E5" s="34">
        <f>C5-B5</f>
        <v/>
      </c>
      <c r="F5" s="34">
        <f>C5-D5</f>
        <v/>
      </c>
      <c r="G5">
        <f>IF(C5&gt;=B5,"Atteint","Non atteint")</f>
        <v/>
      </c>
    </row>
    <row r="6">
      <c r="A6" t="inlineStr">
        <is>
          <t>CSAT (%)</t>
        </is>
      </c>
      <c r="B6" s="35">
        <f>'Données brutes'!B14</f>
        <v/>
      </c>
      <c r="C6" s="35">
        <f>'Données brutes'!F6</f>
        <v/>
      </c>
      <c r="D6" s="35">
        <f>'Données brutes'!F5</f>
        <v/>
      </c>
      <c r="E6" s="36">
        <f>C6-B6</f>
        <v/>
      </c>
      <c r="F6" s="36">
        <f>C6-D6</f>
        <v/>
      </c>
      <c r="G6">
        <f>IF(C6&gt;=B6,"Atteint","Non atteint")</f>
        <v/>
      </c>
    </row>
    <row r="7">
      <c r="A7" t="inlineStr">
        <is>
          <t>NPS (points)</t>
        </is>
      </c>
      <c r="B7" s="37">
        <f>'Données brutes'!B15</f>
        <v/>
      </c>
      <c r="C7" s="37">
        <f>'Données brutes'!G6</f>
        <v/>
      </c>
      <c r="D7" s="37">
        <f>'Données brutes'!G5</f>
        <v/>
      </c>
      <c r="E7" s="36">
        <f>C7-B7</f>
        <v/>
      </c>
      <c r="F7" s="36">
        <f>C7-D7</f>
        <v/>
      </c>
      <c r="G7">
        <f>IF(C7&gt;=B7,"Atteint","Non atteint")</f>
        <v/>
      </c>
    </row>
    <row r="8">
      <c r="A8" t="inlineStr">
        <is>
          <t>CES moyen /7</t>
        </is>
      </c>
      <c r="B8" s="38">
        <f>'Données brutes'!B16</f>
        <v/>
      </c>
      <c r="C8" s="38">
        <f>'Données brutes'!H6</f>
        <v/>
      </c>
      <c r="D8" s="38">
        <f>'Données brutes'!H5</f>
        <v/>
      </c>
      <c r="E8" s="39">
        <f>C8-B8</f>
        <v/>
      </c>
      <c r="F8" s="39">
        <f>C8-D8</f>
        <v/>
      </c>
      <c r="G8">
        <f>IF(C8&gt;=B8,"Atteint","Non atteint")</f>
        <v/>
      </c>
    </row>
    <row r="10">
      <c r="A10" t="inlineStr">
        <is>
          <t>Écarts : en € pour le CA et le panier, en points de % pour le taux de transformation et le CSAT, en points de score pour le NPS et le CES. Évolution : en % pour le CA, en points/valeur pour les autres.</t>
        </is>
      </c>
    </row>
  </sheetData>
  <conditionalFormatting sqref="G2:G8">
    <cfRule type="expression" priority="1" dxfId="0">
      <formula>$G2="Atteint"</formula>
    </cfRule>
    <cfRule type="expression" priority="2" dxfId="1">
      <formula>$G2="Non atteint"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14" sqref="C14"/>
    </sheetView>
  </sheetViews>
  <sheetFormatPr baseColWidth="8" defaultColWidth="8.875" defaultRowHeight="24.95" customHeight="1"/>
  <cols>
    <col width="26" customWidth="1" style="13" min="1" max="1"/>
    <col width="20" customWidth="1" style="13" min="2" max="8"/>
    <col width="8.875" customWidth="1" style="13" min="9" max="16384"/>
  </cols>
  <sheetData>
    <row r="1" ht="24.95" customFormat="1" customHeight="1" s="2">
      <c r="A1" s="4" t="inlineStr">
        <is>
          <t>Mois</t>
        </is>
      </c>
      <c r="B1" s="4" t="inlineStr">
        <is>
          <t>Promoteurs (%)</t>
        </is>
      </c>
      <c r="C1" s="4" t="inlineStr">
        <is>
          <t>Détracteurs (%)</t>
        </is>
      </c>
      <c r="D1" s="4" t="inlineStr">
        <is>
          <t>Passifs (%)</t>
        </is>
      </c>
      <c r="E1" s="40" t="inlineStr">
        <is>
          <t>NPS (points)</t>
        </is>
      </c>
      <c r="F1" s="3" t="n"/>
      <c r="G1" s="3" t="n"/>
      <c r="H1" s="3" t="n"/>
    </row>
    <row r="2" ht="24.95" customHeight="1">
      <c r="A2" s="15" t="inlineStr">
        <is>
          <t>Mai</t>
        </is>
      </c>
      <c r="B2" s="14" t="n">
        <v>59</v>
      </c>
      <c r="C2" s="14" t="n">
        <v>17</v>
      </c>
      <c r="D2" s="14" t="n">
        <v>24</v>
      </c>
      <c r="E2">
        <f>B2-C2</f>
        <v/>
      </c>
    </row>
    <row r="3" ht="24.95" customHeight="1">
      <c r="A3" s="15" t="inlineStr">
        <is>
          <t>Juin</t>
        </is>
      </c>
      <c r="B3" s="14" t="n">
        <v>57</v>
      </c>
      <c r="C3" s="14" t="n">
        <v>18</v>
      </c>
      <c r="D3" s="14" t="n">
        <v>25</v>
      </c>
      <c r="E3">
        <f>B3-C3</f>
        <v/>
      </c>
    </row>
    <row r="4" ht="24.95" customHeight="1">
      <c r="A4" s="15" t="inlineStr">
        <is>
          <t>Juillet</t>
        </is>
      </c>
      <c r="B4" s="14" t="n">
        <v>54</v>
      </c>
      <c r="C4" s="14" t="n">
        <v>20</v>
      </c>
      <c r="D4" s="14" t="n">
        <v>26</v>
      </c>
      <c r="E4">
        <f>B4-C4</f>
        <v/>
      </c>
    </row>
    <row r="5" ht="24.95" customHeight="1">
      <c r="A5" s="15" t="inlineStr">
        <is>
          <t>Août</t>
        </is>
      </c>
      <c r="B5" s="14" t="n">
        <v>48</v>
      </c>
      <c r="C5" s="14" t="n">
        <v>23</v>
      </c>
      <c r="D5" s="14" t="n">
        <v>29</v>
      </c>
      <c r="E5">
        <f>B5-C5</f>
        <v/>
      </c>
    </row>
    <row r="6" ht="24.95" customHeight="1">
      <c r="A6" s="15" t="inlineStr">
        <is>
          <t>Septembre</t>
        </is>
      </c>
      <c r="B6" s="14" t="n">
        <v>44</v>
      </c>
      <c r="C6" s="14" t="n">
        <v>28</v>
      </c>
      <c r="D6" s="14" t="n">
        <v>28</v>
      </c>
      <c r="E6">
        <f>B6-C6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2026-10-19T12:08:47Z</dcterms:created>
  <dcterms:modified xmlns:dcterms="http://purl.org/dc/terms/" xmlns:xsi="http://www.w3.org/2001/XMLSchema-instance" xsi:type="dcterms:W3CDTF">2026-10-20T10:13:57Z</dcterms:modified>
  <cp:lastModifiedBy>Marine Ploton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0x0101002EC004FE8BB3024E8B667535A188F346</vt:lpwstr>
  </property>
</Properties>
</file>